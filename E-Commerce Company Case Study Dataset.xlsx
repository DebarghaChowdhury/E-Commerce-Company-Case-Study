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Case Studies\E-Commerce Company Case Study\"/>
    </mc:Choice>
  </mc:AlternateContent>
  <xr:revisionPtr revIDLastSave="0" documentId="13_ncr:1_{4F4A172B-EC4E-4D62-A9C2-AAB4404C2759}" xr6:coauthVersionLast="47" xr6:coauthVersionMax="47" xr10:uidLastSave="{00000000-0000-0000-0000-000000000000}"/>
  <bookViews>
    <workbookView xWindow="-120" yWindow="-120" windowWidth="29040" windowHeight="15720" tabRatio="826" activeTab="9" xr2:uid="{00000000-000D-0000-FFFF-FFFF00000000}"/>
  </bookViews>
  <sheets>
    <sheet name="Overview" sheetId="10" r:id="rId1"/>
    <sheet name="products" sheetId="1" r:id="rId2"/>
    <sheet name="orderdetails" sheetId="2" r:id="rId3"/>
    <sheet name="customers" sheetId="3" r:id="rId4"/>
    <sheet name="orders" sheetId="4" r:id="rId5"/>
    <sheet name="Executive Summary" sheetId="5" r:id="rId6"/>
    <sheet name="Customer Insights" sheetId="6" r:id="rId7"/>
    <sheet name="Product Analysis" sheetId="7" r:id="rId8"/>
    <sheet name="Sales Optimization" sheetId="8" r:id="rId9"/>
    <sheet name="Inventory Management"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B7" i="5"/>
  <c r="K4" i="5"/>
  <c r="H4" i="5"/>
  <c r="E4" i="5"/>
  <c r="B4" i="5"/>
</calcChain>
</file>

<file path=xl/sharedStrings.xml><?xml version="1.0" encoding="utf-8"?>
<sst xmlns="http://schemas.openxmlformats.org/spreadsheetml/2006/main" count="528" uniqueCount="259">
  <si>
    <t>product_id</t>
  </si>
  <si>
    <t>name</t>
  </si>
  <si>
    <t>category</t>
  </si>
  <si>
    <t>price</t>
  </si>
  <si>
    <t>Smartphone 6"</t>
  </si>
  <si>
    <t>Electronics</t>
  </si>
  <si>
    <t>Laptop 15"</t>
  </si>
  <si>
    <t>Bluetooth Headphones</t>
  </si>
  <si>
    <t>E-Book Reader</t>
  </si>
  <si>
    <t>Smartwatch Fitness Tracker</t>
  </si>
  <si>
    <t>Wearable Tech</t>
  </si>
  <si>
    <t>Portable Bluetooth Speaker</t>
  </si>
  <si>
    <t>Digital SLR Camera</t>
  </si>
  <si>
    <t>Photography</t>
  </si>
  <si>
    <t>Wireless Earbuds</t>
  </si>
  <si>
    <t>order_id</t>
  </si>
  <si>
    <t>quantity</t>
  </si>
  <si>
    <t>price_per_unit</t>
  </si>
  <si>
    <t>customer_id</t>
  </si>
  <si>
    <t>location</t>
  </si>
  <si>
    <t>Ivana Chander</t>
  </si>
  <si>
    <t>Delhi</t>
  </si>
  <si>
    <t>Charvi Kibe</t>
  </si>
  <si>
    <t>Chennai</t>
  </si>
  <si>
    <t>Divij Chaudry</t>
  </si>
  <si>
    <t>Charvi Balay</t>
  </si>
  <si>
    <t>Pune</t>
  </si>
  <si>
    <t>Diya Arya</t>
  </si>
  <si>
    <t>Dhruv Cherian</t>
  </si>
  <si>
    <t>Myra Dubey</t>
  </si>
  <si>
    <t>Advika Wable</t>
  </si>
  <si>
    <t>Aarna Samra</t>
  </si>
  <si>
    <t>Hyderabad</t>
  </si>
  <si>
    <t>Ahana Ray</t>
  </si>
  <si>
    <t>Ahmedabad</t>
  </si>
  <si>
    <t>Tanya Baria</t>
  </si>
  <si>
    <t>Lucknow</t>
  </si>
  <si>
    <t>Kismat Sangha</t>
  </si>
  <si>
    <t>Kolkata</t>
  </si>
  <si>
    <t>Lakshit Walia</t>
  </si>
  <si>
    <t>Jayant Yohannan</t>
  </si>
  <si>
    <t>Jivika Tiwari</t>
  </si>
  <si>
    <t>Adira Bhargava</t>
  </si>
  <si>
    <t>Jaipur</t>
  </si>
  <si>
    <t>Rhea Issac</t>
  </si>
  <si>
    <t>Rasha Sarna</t>
  </si>
  <si>
    <t>Sahil Chaudhary</t>
  </si>
  <si>
    <t>Shamik Mannan</t>
  </si>
  <si>
    <t>Rati Jayaraman</t>
  </si>
  <si>
    <t>Hiran Deo</t>
  </si>
  <si>
    <t>Shayak Chokshi</t>
  </si>
  <si>
    <t>Samar Sharaf</t>
  </si>
  <si>
    <t>Mumbai</t>
  </si>
  <si>
    <t>Miraya Bora</t>
  </si>
  <si>
    <t>Anvi Atwal</t>
  </si>
  <si>
    <t>Ahana Divan</t>
  </si>
  <si>
    <t>Emir Brahmbhatt</t>
  </si>
  <si>
    <t>Kaira Guha</t>
  </si>
  <si>
    <t>Hridaan Lala</t>
  </si>
  <si>
    <t>Hiran Mandal</t>
  </si>
  <si>
    <t>Romil Bora</t>
  </si>
  <si>
    <t>Jayan Bhatti</t>
  </si>
  <si>
    <t>Bangalore</t>
  </si>
  <si>
    <t>Ishaan Walia</t>
  </si>
  <si>
    <t>Miraya Mand</t>
  </si>
  <si>
    <t>Ivana Acharya</t>
  </si>
  <si>
    <t>Jayesh Butala</t>
  </si>
  <si>
    <t>Saksham Barman</t>
  </si>
  <si>
    <t>Piya Cheema</t>
  </si>
  <si>
    <t>Diya Mallick</t>
  </si>
  <si>
    <t>Ehsaan Chand</t>
  </si>
  <si>
    <t>Shlok Dhingra</t>
  </si>
  <si>
    <t>Kavya Tak</t>
  </si>
  <si>
    <t>Vritika Baral</t>
  </si>
  <si>
    <t>Hunar Rout</t>
  </si>
  <si>
    <t>Kismat Bajwa</t>
  </si>
  <si>
    <t>Adah Dara</t>
  </si>
  <si>
    <t>Reyansh Golla</t>
  </si>
  <si>
    <t>Yuvaan Krishnan</t>
  </si>
  <si>
    <t>Pari Korpal</t>
  </si>
  <si>
    <t>Indrans Lanka</t>
  </si>
  <si>
    <t>Khushi Goswami</t>
  </si>
  <si>
    <t>Himmat Dhillon</t>
  </si>
  <si>
    <t>Hazel Trivedi</t>
  </si>
  <si>
    <t>Fateh Doshi</t>
  </si>
  <si>
    <t>Dhanush Banerjee</t>
  </si>
  <si>
    <t>Diya Upadhyay</t>
  </si>
  <si>
    <t>Shanaya Chakrabarti</t>
  </si>
  <si>
    <t>Yasmin Mallick</t>
  </si>
  <si>
    <t>Ranbir Dewan</t>
  </si>
  <si>
    <t>Saksham Buch</t>
  </si>
  <si>
    <t>Himmat Mani</t>
  </si>
  <si>
    <t>Kiaan Tiwari</t>
  </si>
  <si>
    <t>Jayan Loke</t>
  </si>
  <si>
    <t>Shanaya Desai</t>
  </si>
  <si>
    <t>Ahana Korpal</t>
  </si>
  <si>
    <t>Renee Korpal</t>
  </si>
  <si>
    <t>Ayesha Wali</t>
  </si>
  <si>
    <t>Miraan Koshy</t>
  </si>
  <si>
    <t>Dhruv Rajagopal</t>
  </si>
  <si>
    <t>Nirvi Agate</t>
  </si>
  <si>
    <t>Ela Kade</t>
  </si>
  <si>
    <t>Prisha Tara</t>
  </si>
  <si>
    <t>Indrajit Dugar</t>
  </si>
  <si>
    <t>Ryan Ahluwalia</t>
  </si>
  <si>
    <t>Rania Chokshi</t>
  </si>
  <si>
    <t>Kabir Sundaram</t>
  </si>
  <si>
    <t>Yuvraj Bir</t>
  </si>
  <si>
    <t>Shamik Ben</t>
  </si>
  <si>
    <t>Anika Wali</t>
  </si>
  <si>
    <t>Akarsh Loyal</t>
  </si>
  <si>
    <t>Gatik Chakrabarti</t>
  </si>
  <si>
    <t>Ira Madan</t>
  </si>
  <si>
    <t>Gokul Chhabra</t>
  </si>
  <si>
    <t>Aarna Kurian</t>
  </si>
  <si>
    <t>Advika Wali</t>
  </si>
  <si>
    <t>Jayesh Gill</t>
  </si>
  <si>
    <t>Sumer Dora</t>
  </si>
  <si>
    <t>Adah Yogi</t>
  </si>
  <si>
    <t>Anika Kaul</t>
  </si>
  <si>
    <t>Riya Sagar</t>
  </si>
  <si>
    <t>Nitya Viswanathan</t>
  </si>
  <si>
    <t>Yuvaan Dhar</t>
  </si>
  <si>
    <t>Yakshit Mangal</t>
  </si>
  <si>
    <t>Kartik Bhakta</t>
  </si>
  <si>
    <t>Veer Vaidya</t>
  </si>
  <si>
    <t>Saanvi Sani</t>
  </si>
  <si>
    <t>Aniruddh Arya</t>
  </si>
  <si>
    <t>Jayant Kade</t>
  </si>
  <si>
    <t>Kimaya Sur</t>
  </si>
  <si>
    <t>order_date</t>
  </si>
  <si>
    <t>total_amount</t>
  </si>
  <si>
    <t>E-Commerce Company Case Study — Executive Summary</t>
  </si>
  <si>
    <t>Source period: Mar-2023 to Feb-2024 | Currency shown as INR proxy | Refreshed 2026-09-23</t>
  </si>
  <si>
    <t>Total Revenue</t>
  </si>
  <si>
    <t>Total Orders</t>
  </si>
  <si>
    <t>Total Customers</t>
  </si>
  <si>
    <t>Units Sold</t>
  </si>
  <si>
    <t>Avg Order Value</t>
  </si>
  <si>
    <t>Repeat Customer Rate</t>
  </si>
  <si>
    <t>Top Sales City</t>
  </si>
  <si>
    <t>Top Revenue Product</t>
  </si>
  <si>
    <t>Laptop 15" Pro</t>
  </si>
  <si>
    <t>Business Question</t>
  </si>
  <si>
    <t>Answer</t>
  </si>
  <si>
    <t>Evidence</t>
  </si>
  <si>
    <t>Which city drives the most revenue?</t>
  </si>
  <si>
    <t>Revenue 3,890,000 across 34 orders</t>
  </si>
  <si>
    <t>Which product is the top revenue generator?</t>
  </si>
  <si>
    <t>Revenue 7,560,000 from 126 units</t>
  </si>
  <si>
    <t>When are sales strongest?</t>
  </si>
  <si>
    <t>Highest monthly revenue 2,927,000</t>
  </si>
  <si>
    <t>When is order volume highest?</t>
  </si>
  <si>
    <t>26 orders</t>
  </si>
  <si>
    <t>How strong is repeat behavior?</t>
  </si>
  <si>
    <t>58.0% repeat rate</t>
  </si>
  <si>
    <t>58 of 100 customers</t>
  </si>
  <si>
    <t>Can inventory be sized precisely?</t>
  </si>
  <si>
    <t>Not from current data</t>
  </si>
  <si>
    <t>No on-hand stock, lead time, or supplier fields provided</t>
  </si>
  <si>
    <t>Month</t>
  </si>
  <si>
    <t>Revenue</t>
  </si>
  <si>
    <t>Category</t>
  </si>
  <si>
    <t>Customer Insights</t>
  </si>
  <si>
    <t>Focus: customer scale, repeat behavior, geographic concentration, and high-value accounts</t>
  </si>
  <si>
    <t>Repeat Customers</t>
  </si>
  <si>
    <t>Repeat Rate</t>
  </si>
  <si>
    <t>Location</t>
  </si>
  <si>
    <t>Customers</t>
  </si>
  <si>
    <t>Orders</t>
  </si>
  <si>
    <t>Rank</t>
  </si>
  <si>
    <t>Customer</t>
  </si>
  <si>
    <t>Spend</t>
  </si>
  <si>
    <t>Action</t>
  </si>
  <si>
    <t>Which city should get the next localized campaign?</t>
  </si>
  <si>
    <t>Prioritize assortment and retention offers</t>
  </si>
  <si>
    <t>How large is the repeat-customer base?</t>
  </si>
  <si>
    <t>58 customers</t>
  </si>
  <si>
    <t>Use CRM journeys for repeat buyers</t>
  </si>
  <si>
    <t>Who is the highest-value customer?</t>
  </si>
  <si>
    <t>Protect with VIP retention treatment</t>
  </si>
  <si>
    <t>Is revenue concentrated geographically?</t>
  </si>
  <si>
    <t>19.7% in Chennai</t>
  </si>
  <si>
    <t>Balance growth investment across next-best cities</t>
  </si>
  <si>
    <t>What is the next city by revenue?</t>
  </si>
  <si>
    <t>Test a second-wave campaign</t>
  </si>
  <si>
    <t>What customer metric needs tracking next?</t>
  </si>
  <si>
    <t>Customer lifetime value</t>
  </si>
  <si>
    <t>Add margin and repeat-timing data</t>
  </si>
  <si>
    <t>Product Analysis</t>
  </si>
  <si>
    <t>Focus: product revenue, demand, category mix, and assortment priorities</t>
  </si>
  <si>
    <t>Total Products</t>
  </si>
  <si>
    <t>Top Category</t>
  </si>
  <si>
    <t>Product</t>
  </si>
  <si>
    <t>Unit Price</t>
  </si>
  <si>
    <t>Unique Orders</t>
  </si>
  <si>
    <t>Products</t>
  </si>
  <si>
    <t>Which product leads revenue?</t>
  </si>
  <si>
    <t>Protect availability and feature prominently</t>
  </si>
  <si>
    <t>Which category dominates?</t>
  </si>
  <si>
    <t>64.5% of revenue</t>
  </si>
  <si>
    <t>Which product leads unit demand?</t>
  </si>
  <si>
    <t>151 units sold</t>
  </si>
  <si>
    <t>Which product is lowest by demand?</t>
  </si>
  <si>
    <t>Review pricing, placement, and bundle strategy</t>
  </si>
  <si>
    <t>Where is cross-sell potential strongest?</t>
  </si>
  <si>
    <t>Bundle laptop, smartphone, and accessories</t>
  </si>
  <si>
    <t>What product metric is missing?</t>
  </si>
  <si>
    <t>Gross margin</t>
  </si>
  <si>
    <t>Add cost and margin fields before optimizing spend</t>
  </si>
  <si>
    <t>Sales Optimization</t>
  </si>
  <si>
    <t>Focus: sales trend, average order value, and timing of demand</t>
  </si>
  <si>
    <t>Best Revenue Month</t>
  </si>
  <si>
    <t>When should promotions be concentrated?</t>
  </si>
  <si>
    <t>2,927,000 revenue</t>
  </si>
  <si>
    <t>Front-load campaign planning</t>
  </si>
  <si>
    <t>When is traffic highest?</t>
  </si>
  <si>
    <t>Increase fulfillment readiness</t>
  </si>
  <si>
    <t>What is the sales baseline?</t>
  </si>
  <si>
    <t>98,915 AOV</t>
  </si>
  <si>
    <t>Across 200 orders</t>
  </si>
  <si>
    <t>Track AOV weekly</t>
  </si>
  <si>
    <t>What is the softest month?</t>
  </si>
  <si>
    <t>396,000 revenue</t>
  </si>
  <si>
    <t>Investigate seasonality or campaign gaps</t>
  </si>
  <si>
    <t>What extra data would improve optimization?</t>
  </si>
  <si>
    <t>Discount and channel data</t>
  </si>
  <si>
    <t>Not in current tables</t>
  </si>
  <si>
    <t>Add campaign, channel, and discount fields</t>
  </si>
  <si>
    <t>Inventory Management — Demand Proxy</t>
  </si>
  <si>
    <t>No on-hand stock, reorder lead time, or supplier data was provided. Use the ranking below as a demand-based replenishment proxy.</t>
  </si>
  <si>
    <t>Top Demand Product</t>
  </si>
  <si>
    <t>Top Units Sold</t>
  </si>
  <si>
    <t>Low Demand Product</t>
  </si>
  <si>
    <t>Proxy Method</t>
  </si>
  <si>
    <t>Units sold + unique orders</t>
  </si>
  <si>
    <t>Demand Signal</t>
  </si>
  <si>
    <t>Suggested Action</t>
  </si>
  <si>
    <t>High</t>
  </si>
  <si>
    <t>Prioritize replenishment</t>
  </si>
  <si>
    <t>Medium</t>
  </si>
  <si>
    <t>Maintain healthy cover</t>
  </si>
  <si>
    <t>Low</t>
  </si>
  <si>
    <t>Monitor; avoid overstock</t>
  </si>
  <si>
    <t>Which products need the strongest replenishment focus?</t>
  </si>
  <si>
    <t>Digital SLR Camera, Bluetooth Headphones, Portable Bluetooth Speaker</t>
  </si>
  <si>
    <t>Allocate safety stock first to the top 3</t>
  </si>
  <si>
    <t>Which product is the weakest demand signal?</t>
  </si>
  <si>
    <t>Review assortment role before buying deeper</t>
  </si>
  <si>
    <t>Can exact reorder quantities be calculated?</t>
  </si>
  <si>
    <t>No</t>
  </si>
  <si>
    <t>Need on-hand, lead time, MOQ, and service-level data</t>
  </si>
  <si>
    <t>What should operations monitor weekly?</t>
  </si>
  <si>
    <t>Units sold and unique orders</t>
  </si>
  <si>
    <t>Use as a demand dashboard until stock data arrives</t>
  </si>
  <si>
    <t>What is the immediate supply-chain risk?</t>
  </si>
  <si>
    <t>Demand concentration in Digital SLR Camera</t>
  </si>
  <si>
    <t>Protect availability on top-demand SKUs</t>
  </si>
  <si>
    <r>
      <rPr>
        <b/>
        <sz val="12"/>
        <color rgb="FF000000"/>
        <rFont val="Arial"/>
        <family val="2"/>
        <scheme val="minor"/>
      </rPr>
      <t>E-Commerce Company Case Study</t>
    </r>
    <r>
      <rPr>
        <sz val="12"/>
        <color rgb="FF000000"/>
        <rFont val="Arial"/>
        <family val="2"/>
        <scheme val="minor"/>
      </rPr>
      <t xml:space="preserve">
</t>
    </r>
    <r>
      <rPr>
        <b/>
        <i/>
        <sz val="12"/>
        <color rgb="FF000000"/>
        <rFont val="Arial"/>
        <family val="2"/>
        <scheme val="minor"/>
      </rPr>
      <t>Overview</t>
    </r>
    <r>
      <rPr>
        <sz val="12"/>
        <color rgb="FF000000"/>
        <rFont val="Arial"/>
        <family val="2"/>
        <scheme val="minor"/>
      </rPr>
      <t xml:space="preserve">: As a data analyst at our dynamic e-commerce company, you're tasked with leveraging our extensive databases to extract insights that drive our business strategies forward. Your analysis will inform various departments, from marketing to supply chain, providing them with actionable data to optimize our operations, enhance customer satisfaction, and boost our sales performance. This case study simulates real-world tasks you will encounter and requires you to apply MS Excel skills to solve practical business problems.
</t>
    </r>
    <r>
      <rPr>
        <b/>
        <sz val="12"/>
        <color rgb="FF000000"/>
        <rFont val="Arial"/>
        <family val="2"/>
        <scheme val="minor"/>
      </rPr>
      <t>Business Context</t>
    </r>
    <r>
      <rPr>
        <sz val="12"/>
        <color rgb="FF000000"/>
        <rFont val="Arial"/>
        <family val="2"/>
        <scheme val="minor"/>
      </rPr>
      <t xml:space="preserve">:
Your work will directly impact the following business verticals:
</t>
    </r>
    <r>
      <rPr>
        <b/>
        <i/>
        <sz val="12"/>
        <color rgb="FF000000"/>
        <rFont val="Arial"/>
        <family val="2"/>
        <scheme val="minor"/>
      </rPr>
      <t>• Customer Insights</t>
    </r>
    <r>
      <rPr>
        <sz val="12"/>
        <color rgb="FF000000"/>
        <rFont val="Arial"/>
        <family val="2"/>
        <scheme val="minor"/>
      </rPr>
      <t xml:space="preserve">: Understanding our customer base to tailor marketing strategies.
</t>
    </r>
    <r>
      <rPr>
        <b/>
        <i/>
        <sz val="12"/>
        <color rgb="FF000000"/>
        <rFont val="Arial"/>
        <family val="2"/>
        <scheme val="minor"/>
      </rPr>
      <t>• Product Analysis</t>
    </r>
    <r>
      <rPr>
        <sz val="12"/>
        <color rgb="FF000000"/>
        <rFont val="Arial"/>
        <family val="2"/>
        <scheme val="minor"/>
      </rPr>
      <t xml:space="preserve">: Evaluating product performance to inform stock and sales strategies.
</t>
    </r>
    <r>
      <rPr>
        <b/>
        <i/>
        <sz val="12"/>
        <color rgb="FF000000"/>
        <rFont val="Arial"/>
        <family val="2"/>
        <scheme val="minor"/>
      </rPr>
      <t>• Sales Optimization</t>
    </r>
    <r>
      <rPr>
        <sz val="12"/>
        <color rgb="FF000000"/>
        <rFont val="Arial"/>
        <family val="2"/>
        <scheme val="minor"/>
      </rPr>
      <t xml:space="preserve">: Analyzing sales data to identify trends, opportunities, and areas for improvement.
</t>
    </r>
    <r>
      <rPr>
        <b/>
        <i/>
        <sz val="12"/>
        <color rgb="FF000000"/>
        <rFont val="Arial"/>
        <family val="2"/>
        <scheme val="minor"/>
      </rPr>
      <t>• Inventory Management</t>
    </r>
    <r>
      <rPr>
        <sz val="12"/>
        <color rgb="FF000000"/>
        <rFont val="Arial"/>
        <family val="2"/>
        <scheme val="minor"/>
      </rPr>
      <t xml:space="preserve">: Managing stock levels to ensure product availability while minimizing excess inventory.
</t>
    </r>
    <r>
      <rPr>
        <b/>
        <sz val="12"/>
        <color rgb="FF000000"/>
        <rFont val="Arial"/>
        <family val="2"/>
        <scheme val="minor"/>
      </rPr>
      <t>Dataset Details</t>
    </r>
    <r>
      <rPr>
        <sz val="12"/>
        <color rgb="FF000000"/>
        <rFont val="Arial"/>
        <family val="2"/>
        <scheme val="minor"/>
      </rPr>
      <t xml:space="preserve">: All these datasets are already fed in our system and you can extract the same using the Excel skills.
</t>
    </r>
    <r>
      <rPr>
        <b/>
        <i/>
        <sz val="12"/>
        <color rgb="FF000000"/>
        <rFont val="Arial"/>
        <family val="2"/>
        <scheme val="minor"/>
      </rPr>
      <t>• Customers Dataset</t>
    </r>
    <r>
      <rPr>
        <sz val="12"/>
        <color rgb="FF000000"/>
        <rFont val="Arial"/>
        <family val="2"/>
        <scheme val="minor"/>
      </rPr>
      <t xml:space="preserve">: customer_id, name, and location
</t>
    </r>
    <r>
      <rPr>
        <b/>
        <i/>
        <sz val="12"/>
        <color rgb="FF000000"/>
        <rFont val="Arial"/>
        <family val="2"/>
        <scheme val="minor"/>
      </rPr>
      <t>• Products Dataset</t>
    </r>
    <r>
      <rPr>
        <sz val="12"/>
        <color rgb="FF000000"/>
        <rFont val="Arial"/>
        <family val="2"/>
        <scheme val="minor"/>
      </rPr>
      <t xml:space="preserve">: product_id, name, category, and price.
</t>
    </r>
    <r>
      <rPr>
        <b/>
        <i/>
        <sz val="12"/>
        <color rgb="FF000000"/>
        <rFont val="Arial"/>
        <family val="2"/>
        <scheme val="minor"/>
      </rPr>
      <t>• Orders Dataset</t>
    </r>
    <r>
      <rPr>
        <sz val="12"/>
        <color rgb="FF000000"/>
        <rFont val="Arial"/>
        <family val="2"/>
        <scheme val="minor"/>
      </rPr>
      <t xml:space="preserve">: order_id, order_date, customer_id, and total_amount.
</t>
    </r>
    <r>
      <rPr>
        <b/>
        <i/>
        <sz val="12"/>
        <color rgb="FF000000"/>
        <rFont val="Arial"/>
        <family val="2"/>
        <scheme val="minor"/>
      </rPr>
      <t>• OrderDetails Dataset:</t>
    </r>
    <r>
      <rPr>
        <sz val="12"/>
        <color rgb="FF000000"/>
        <rFont val="Arial"/>
        <family val="2"/>
        <scheme val="minor"/>
      </rPr>
      <t xml:space="preserve"> order_id, product_id, quantity, and price_per_unit.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</si>
</sst>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6" formatCode="0.0%"/>
  </numFmts>
  <fonts count="11" x14ac:knownFonts="1">
    <font>
      <sz val="10"/>
      <color rgb="FF000000"/>
      <name val="Arial"/>
      <scheme val="minor"/>
    </font>
    <font>
      <b/>
      <sz val="10"/>
      <color theme="1"/>
      <name val="Arial"/>
      <family val="2"/>
      <scheme val="minor"/>
    </font>
    <font>
      <sz val="10"/>
      <color theme="1"/>
      <name val="Arial"/>
      <family val="2"/>
      <scheme val="minor"/>
    </font>
    <font>
      <b/>
      <sz val="14"/>
      <color rgb="FFFFFFFF"/>
      <name val="Calibri"/>
      <family val="2"/>
    </font>
    <font>
      <i/>
      <sz val="10"/>
      <color rgb="FF666666"/>
      <name val="Calibri"/>
      <family val="2"/>
    </font>
    <font>
      <b/>
      <sz val="11"/>
      <color rgb="FF000000"/>
      <name val="Calibri"/>
      <family val="2"/>
    </font>
    <font>
      <b/>
      <sz val="11"/>
      <color rgb="FFFFFFFF"/>
      <name val="Calibri"/>
      <family val="2"/>
    </font>
    <font>
      <b/>
      <i/>
      <sz val="10"/>
      <color rgb="FFC00000"/>
      <name val="Calibri"/>
      <family val="2"/>
    </font>
    <font>
      <sz val="12"/>
      <color rgb="FF000000"/>
      <name val="Arial"/>
      <family val="2"/>
      <scheme val="minor"/>
    </font>
    <font>
      <b/>
      <sz val="12"/>
      <color rgb="FF000000"/>
      <name val="Arial"/>
      <family val="2"/>
      <scheme val="minor"/>
    </font>
    <font>
      <b/>
      <i/>
      <sz val="12"/>
      <color rgb="FF000000"/>
      <name val="Arial"/>
      <family val="2"/>
      <scheme val="minor"/>
    </font>
  </fonts>
  <fills count="7">
    <fill>
      <patternFill patternType="none"/>
    </fill>
    <fill>
      <patternFill patternType="gray125"/>
    </fill>
    <fill>
      <patternFill patternType="solid">
        <fgColor rgb="FF1D2330"/>
        <bgColor indexed="64"/>
      </patternFill>
    </fill>
    <fill>
      <patternFill patternType="solid">
        <fgColor rgb="FFF2F2F2"/>
        <bgColor indexed="64"/>
      </patternFill>
    </fill>
    <fill>
      <patternFill patternType="solid">
        <fgColor rgb="FFE2F0D9"/>
        <bgColor indexed="64"/>
      </patternFill>
    </fill>
    <fill>
      <patternFill patternType="solid">
        <fgColor rgb="FF4472C4"/>
        <bgColor indexed="64"/>
      </patternFill>
    </fill>
    <fill>
      <patternFill patternType="solid">
        <fgColor rgb="FFFFF2CC"/>
        <bgColor indexed="64"/>
      </patternFill>
    </fill>
  </fills>
  <borders count="7">
    <border>
      <left/>
      <right/>
      <top/>
      <bottom/>
      <diagonal/>
    </border>
    <border>
      <left/>
      <right/>
      <top style="thick">
        <color rgb="FF1D2330"/>
      </top>
      <bottom style="thin">
        <color rgb="FFD9D9D9"/>
      </bottom>
      <diagonal/>
    </border>
    <border>
      <left/>
      <right/>
      <top style="thin">
        <color rgb="FFA9D18E"/>
      </top>
      <bottom style="thin">
        <color rgb="FFA9D18E"/>
      </bottom>
      <diagonal/>
    </border>
    <border>
      <left style="thin">
        <color rgb="FFA9D18E"/>
      </left>
      <right/>
      <top style="thin">
        <color rgb="FFA9D18E"/>
      </top>
      <bottom style="thin">
        <color rgb="FFA9D18E"/>
      </bottom>
      <diagonal/>
    </border>
    <border>
      <left/>
      <right style="thin">
        <color rgb="FFA9D18E"/>
      </right>
      <top style="thin">
        <color rgb="FFA9D18E"/>
      </top>
      <bottom style="thin">
        <color rgb="FFA9D18E"/>
      </bottom>
      <diagonal/>
    </border>
    <border>
      <left/>
      <right/>
      <top/>
      <bottom style="medium">
        <color rgb="FF1F1F1F"/>
      </bottom>
      <diagonal/>
    </border>
    <border>
      <left/>
      <right/>
      <top style="thick">
        <color rgb="FF1D2330"/>
      </top>
      <bottom style="thin">
        <color rgb="FFC9B458"/>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164" fontId="2" fillId="0" borderId="0" xfId="0" applyNumberFormat="1" applyFont="1"/>
    <xf numFmtId="17" fontId="0" fillId="0" borderId="0" xfId="0" applyNumberFormat="1"/>
    <xf numFmtId="49" fontId="4" fillId="3" borderId="1" xfId="0" applyNumberFormat="1" applyFont="1" applyFill="1" applyBorder="1" applyAlignment="1">
      <alignment horizontal="left"/>
    </xf>
    <xf numFmtId="49" fontId="3" fillId="2" borderId="0" xfId="0" applyNumberFormat="1" applyFont="1" applyFill="1" applyAlignment="1">
      <alignment horizontal="left"/>
    </xf>
    <xf numFmtId="49" fontId="5" fillId="4" borderId="2" xfId="0" applyNumberFormat="1" applyFont="1" applyFill="1" applyBorder="1" applyAlignment="1">
      <alignment horizontal="center"/>
    </xf>
    <xf numFmtId="49" fontId="5" fillId="4" borderId="3" xfId="0" applyNumberFormat="1" applyFont="1" applyFill="1" applyBorder="1" applyAlignment="1">
      <alignment horizontal="center"/>
    </xf>
    <xf numFmtId="49" fontId="5" fillId="4" borderId="4" xfId="0" applyNumberFormat="1" applyFont="1" applyFill="1" applyBorder="1" applyAlignment="1">
      <alignment horizontal="center"/>
    </xf>
    <xf numFmtId="49" fontId="6" fillId="5" borderId="5" xfId="0" applyNumberFormat="1" applyFont="1" applyFill="1" applyBorder="1" applyAlignment="1">
      <alignment horizontal="center"/>
    </xf>
    <xf numFmtId="49" fontId="7" fillId="6" borderId="6" xfId="0" applyNumberFormat="1" applyFont="1" applyFill="1" applyBorder="1" applyAlignment="1">
      <alignment horizontal="left"/>
    </xf>
    <xf numFmtId="165" fontId="5" fillId="4" borderId="4" xfId="0" applyNumberFormat="1" applyFont="1" applyFill="1" applyBorder="1" applyAlignment="1">
      <alignment horizontal="center"/>
    </xf>
    <xf numFmtId="166" fontId="5" fillId="4" borderId="4" xfId="0" applyNumberFormat="1" applyFont="1" applyFill="1" applyBorder="1" applyAlignment="1">
      <alignment horizontal="center"/>
    </xf>
    <xf numFmtId="165" fontId="0" fillId="0" borderId="0" xfId="0" applyNumberFormat="1"/>
    <xf numFmtId="166" fontId="5" fillId="4" borderId="2" xfId="0" applyNumberFormat="1" applyFont="1" applyFill="1" applyBorder="1" applyAlignment="1">
      <alignment horizontal="center"/>
    </xf>
    <xf numFmtId="165" fontId="5" fillId="4" borderId="2" xfId="0" applyNumberFormat="1" applyFont="1" applyFill="1" applyBorder="1" applyAlignment="1">
      <alignment horizontal="center"/>
    </xf>
    <xf numFmtId="0" fontId="8" fillId="0" borderId="0" xfId="0" applyFont="1" applyAlignment="1">
      <alignment horizontal="left" vertical="top" wrapText="1"/>
    </xf>
    <xf numFmtId="0" fontId="8" fillId="0" borderId="0" xfId="0" applyFont="1" applyAlignment="1">
      <alignment horizontal="left" vertical="top"/>
    </xf>
  </cellXfs>
  <cellStyles count="1">
    <cellStyle name="Normal" xfId="0" builtinId="0"/>
  </cellStyles>
  <dxfs count="23">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'Executive Summary'!$B$19</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7.8040816326530607E-2"/>
                  <c:y val="-6.2907078475655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E8-46AE-A77B-39615818F738}"/>
                </c:ext>
              </c:extLst>
            </c:dLbl>
            <c:dLbl>
              <c:idx val="2"/>
              <c:layout>
                <c:manualLayout>
                  <c:x val="-7.2598639455782307E-2"/>
                  <c:y val="8.17957639016053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E8-46AE-A77B-39615818F73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Summary'!$A$20:$A$31</c:f>
              <c:numCache>
                <c:formatCode>mmm\-yy</c:formatCode>
                <c:ptCount val="12"/>
                <c:pt idx="0">
                  <c:v>44986</c:v>
                </c:pt>
                <c:pt idx="1">
                  <c:v>45017</c:v>
                </c:pt>
                <c:pt idx="2">
                  <c:v>45047</c:v>
                </c:pt>
                <c:pt idx="3">
                  <c:v>45078</c:v>
                </c:pt>
                <c:pt idx="4">
                  <c:v>45108</c:v>
                </c:pt>
                <c:pt idx="5">
                  <c:v>45139</c:v>
                </c:pt>
                <c:pt idx="6">
                  <c:v>45170</c:v>
                </c:pt>
                <c:pt idx="7">
                  <c:v>45200</c:v>
                </c:pt>
                <c:pt idx="8">
                  <c:v>45231</c:v>
                </c:pt>
                <c:pt idx="9">
                  <c:v>45261</c:v>
                </c:pt>
                <c:pt idx="10">
                  <c:v>45292</c:v>
                </c:pt>
                <c:pt idx="11">
                  <c:v>45323</c:v>
                </c:pt>
              </c:numCache>
            </c:numRef>
          </c:cat>
          <c:val>
            <c:numRef>
              <c:f>'Executive Summary'!$B$20:$B$31</c:f>
              <c:numCache>
                <c:formatCode>\₹#,##0</c:formatCode>
                <c:ptCount val="12"/>
                <c:pt idx="0">
                  <c:v>789000</c:v>
                </c:pt>
                <c:pt idx="1">
                  <c:v>1704000</c:v>
                </c:pt>
                <c:pt idx="2">
                  <c:v>1582000</c:v>
                </c:pt>
                <c:pt idx="3">
                  <c:v>1040000</c:v>
                </c:pt>
                <c:pt idx="4">
                  <c:v>2568000</c:v>
                </c:pt>
                <c:pt idx="5">
                  <c:v>1800000</c:v>
                </c:pt>
                <c:pt idx="6">
                  <c:v>2927000</c:v>
                </c:pt>
                <c:pt idx="7">
                  <c:v>1497000</c:v>
                </c:pt>
                <c:pt idx="8">
                  <c:v>1151000</c:v>
                </c:pt>
                <c:pt idx="9">
                  <c:v>2774000</c:v>
                </c:pt>
                <c:pt idx="10">
                  <c:v>1555000</c:v>
                </c:pt>
                <c:pt idx="11">
                  <c:v>396000</c:v>
                </c:pt>
              </c:numCache>
            </c:numRef>
          </c:val>
          <c:smooth val="0"/>
          <c:extLst>
            <c:ext xmlns:c16="http://schemas.microsoft.com/office/drawing/2014/chart" uri="{C3380CC4-5D6E-409C-BE32-E72D297353CC}">
              <c16:uniqueId val="{00000000-3923-4BA8-881E-41CA8CF7AC15}"/>
            </c:ext>
          </c:extLst>
        </c:ser>
        <c:dLbls>
          <c:dLblPos val="t"/>
          <c:showLegendKey val="0"/>
          <c:showVal val="1"/>
          <c:showCatName val="0"/>
          <c:showSerName val="0"/>
          <c:showPercent val="0"/>
          <c:showBubbleSize val="0"/>
        </c:dLbls>
        <c:marker val="1"/>
        <c:smooth val="0"/>
        <c:axId val="461234183"/>
        <c:axId val="461307911"/>
      </c:lineChart>
      <c:dateAx>
        <c:axId val="46123418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307911"/>
        <c:crosses val="autoZero"/>
        <c:auto val="1"/>
        <c:lblOffset val="100"/>
        <c:baseTimeUnit val="months"/>
      </c:dateAx>
      <c:valAx>
        <c:axId val="461307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234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'Executive Summary'!$E$19</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Summary'!$D$20:$D$22</c:f>
              <c:strCache>
                <c:ptCount val="3"/>
                <c:pt idx="0">
                  <c:v>Electronics</c:v>
                </c:pt>
                <c:pt idx="1">
                  <c:v>Photography</c:v>
                </c:pt>
                <c:pt idx="2">
                  <c:v>Wearable Tech</c:v>
                </c:pt>
              </c:strCache>
            </c:strRef>
          </c:cat>
          <c:val>
            <c:numRef>
              <c:f>'Executive Summary'!$E$20:$E$22</c:f>
              <c:numCache>
                <c:formatCode>\₹#,##0</c:formatCode>
                <c:ptCount val="3"/>
                <c:pt idx="0">
                  <c:v>12758000</c:v>
                </c:pt>
                <c:pt idx="1">
                  <c:v>6040000</c:v>
                </c:pt>
                <c:pt idx="2">
                  <c:v>985000</c:v>
                </c:pt>
              </c:numCache>
            </c:numRef>
          </c:val>
          <c:extLst>
            <c:ext xmlns:c16="http://schemas.microsoft.com/office/drawing/2014/chart" uri="{C3380CC4-5D6E-409C-BE32-E72D297353CC}">
              <c16:uniqueId val="{00000000-25D5-45D2-A6AD-792FD5BA2033}"/>
            </c:ext>
          </c:extLst>
        </c:ser>
        <c:dLbls>
          <c:dLblPos val="outEnd"/>
          <c:showLegendKey val="0"/>
          <c:showVal val="1"/>
          <c:showCatName val="0"/>
          <c:showSerName val="0"/>
          <c:showPercent val="0"/>
          <c:showBubbleSize val="0"/>
        </c:dLbls>
        <c:gapWidth val="219"/>
        <c:overlap val="-27"/>
        <c:axId val="340131335"/>
        <c:axId val="605002247"/>
      </c:barChart>
      <c:catAx>
        <c:axId val="340131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5002247"/>
        <c:crosses val="autoZero"/>
        <c:auto val="1"/>
        <c:lblAlgn val="ctr"/>
        <c:lblOffset val="100"/>
        <c:noMultiLvlLbl val="0"/>
      </c:catAx>
      <c:valAx>
        <c:axId val="605002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0131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Customer 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'Customer Insights'!$N$7</c:f>
              <c:strCache>
                <c:ptCount val="1"/>
                <c:pt idx="0">
                  <c:v>Revenue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Insights'!$M$8:$M$17</c:f>
              <c:strCache>
                <c:ptCount val="10"/>
                <c:pt idx="0">
                  <c:v>Chennai</c:v>
                </c:pt>
                <c:pt idx="1">
                  <c:v>Lucknow</c:v>
                </c:pt>
                <c:pt idx="2">
                  <c:v>Jaipur</c:v>
                </c:pt>
                <c:pt idx="3">
                  <c:v>Delhi</c:v>
                </c:pt>
                <c:pt idx="4">
                  <c:v>Kolkata</c:v>
                </c:pt>
                <c:pt idx="5">
                  <c:v>Bangalore</c:v>
                </c:pt>
                <c:pt idx="6">
                  <c:v>Ahmedabad</c:v>
                </c:pt>
                <c:pt idx="7">
                  <c:v>Hyderabad</c:v>
                </c:pt>
                <c:pt idx="8">
                  <c:v>Pune</c:v>
                </c:pt>
                <c:pt idx="9">
                  <c:v>Mumbai</c:v>
                </c:pt>
              </c:strCache>
            </c:strRef>
          </c:cat>
          <c:val>
            <c:numRef>
              <c:f>'Customer Insights'!$N$8:$N$17</c:f>
              <c:numCache>
                <c:formatCode>General</c:formatCode>
                <c:ptCount val="10"/>
                <c:pt idx="0">
                  <c:v>3890000</c:v>
                </c:pt>
                <c:pt idx="1">
                  <c:v>2206000</c:v>
                </c:pt>
                <c:pt idx="2">
                  <c:v>2102000</c:v>
                </c:pt>
                <c:pt idx="3">
                  <c:v>2066000</c:v>
                </c:pt>
                <c:pt idx="4">
                  <c:v>1928000</c:v>
                </c:pt>
                <c:pt idx="5">
                  <c:v>1899000</c:v>
                </c:pt>
                <c:pt idx="6">
                  <c:v>1616000</c:v>
                </c:pt>
                <c:pt idx="7">
                  <c:v>1589000</c:v>
                </c:pt>
                <c:pt idx="8">
                  <c:v>1323000</c:v>
                </c:pt>
                <c:pt idx="9">
                  <c:v>1164000</c:v>
                </c:pt>
              </c:numCache>
            </c:numRef>
          </c:val>
          <c:extLst>
            <c:ext xmlns:c16="http://schemas.microsoft.com/office/drawing/2014/chart" uri="{C3380CC4-5D6E-409C-BE32-E72D297353CC}">
              <c16:uniqueId val="{00000000-DDF8-4E63-BFB9-B3159BB94D3C}"/>
            </c:ext>
          </c:extLst>
        </c:ser>
        <c:dLbls>
          <c:dLblPos val="outEnd"/>
          <c:showLegendKey val="0"/>
          <c:showVal val="1"/>
          <c:showCatName val="0"/>
          <c:showSerName val="0"/>
          <c:showPercent val="0"/>
          <c:showBubbleSize val="0"/>
        </c:dLbls>
        <c:gapWidth val="182"/>
        <c:axId val="2071169544"/>
        <c:axId val="2071180808"/>
      </c:barChart>
      <c:catAx>
        <c:axId val="20711695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Location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1180808"/>
        <c:crosses val="autoZero"/>
        <c:auto val="1"/>
        <c:lblAlgn val="ctr"/>
        <c:lblOffset val="100"/>
        <c:noMultiLvlLbl val="0"/>
      </c:catAx>
      <c:valAx>
        <c:axId val="2071180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1169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Analysis'!$N$7</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Analysis'!$M$8:$M$15</c:f>
              <c:strCache>
                <c:ptCount val="8"/>
                <c:pt idx="0">
                  <c:v>Laptop 15" Pro</c:v>
                </c:pt>
                <c:pt idx="1">
                  <c:v>Digital SLR Camera</c:v>
                </c:pt>
                <c:pt idx="2">
                  <c:v>Smartphone 6"</c:v>
                </c:pt>
                <c:pt idx="3">
                  <c:v>E-Book Reader</c:v>
                </c:pt>
                <c:pt idx="4">
                  <c:v>Bluetooth Headphones</c:v>
                </c:pt>
                <c:pt idx="5">
                  <c:v>Portable Bluetooth Speaker</c:v>
                </c:pt>
                <c:pt idx="6">
                  <c:v>Smartwatch Fitness Tracker</c:v>
                </c:pt>
                <c:pt idx="7">
                  <c:v>Wireless Earbuds</c:v>
                </c:pt>
              </c:strCache>
            </c:strRef>
          </c:cat>
          <c:val>
            <c:numRef>
              <c:f>'Product Analysis'!$N$8:$N$15</c:f>
              <c:numCache>
                <c:formatCode>General</c:formatCode>
                <c:ptCount val="8"/>
                <c:pt idx="0">
                  <c:v>7560000</c:v>
                </c:pt>
                <c:pt idx="1">
                  <c:v>6040000</c:v>
                </c:pt>
                <c:pt idx="2">
                  <c:v>1620000</c:v>
                </c:pt>
                <c:pt idx="3">
                  <c:v>1560000</c:v>
                </c:pt>
                <c:pt idx="4">
                  <c:v>1080000</c:v>
                </c:pt>
                <c:pt idx="5">
                  <c:v>938000</c:v>
                </c:pt>
                <c:pt idx="6">
                  <c:v>595000</c:v>
                </c:pt>
                <c:pt idx="7">
                  <c:v>390000</c:v>
                </c:pt>
              </c:numCache>
            </c:numRef>
          </c:val>
          <c:extLst>
            <c:ext xmlns:c16="http://schemas.microsoft.com/office/drawing/2014/chart" uri="{C3380CC4-5D6E-409C-BE32-E72D297353CC}">
              <c16:uniqueId val="{00000000-1118-43AD-AEC0-9F8723EF4286}"/>
            </c:ext>
          </c:extLst>
        </c:ser>
        <c:dLbls>
          <c:dLblPos val="outEnd"/>
          <c:showLegendKey val="0"/>
          <c:showVal val="1"/>
          <c:showCatName val="0"/>
          <c:showSerName val="0"/>
          <c:showPercent val="0"/>
          <c:showBubbleSize val="0"/>
        </c:dLbls>
        <c:gapWidth val="219"/>
        <c:overlap val="-27"/>
        <c:axId val="140442119"/>
        <c:axId val="140583431"/>
      </c:barChart>
      <c:catAx>
        <c:axId val="1404421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Product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83431"/>
        <c:crosses val="autoZero"/>
        <c:auto val="1"/>
        <c:lblAlgn val="ctr"/>
        <c:lblOffset val="100"/>
        <c:noMultiLvlLbl val="0"/>
      </c:catAx>
      <c:valAx>
        <c:axId val="140583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42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Optimization'!$G$15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4.1412669161035746E-2"/>
                  <c:y val="3.7817682861584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DE-49AE-8119-5A4C6563294F}"/>
                </c:ext>
              </c:extLst>
            </c:dLbl>
            <c:dLbl>
              <c:idx val="2"/>
              <c:layout>
                <c:manualLayout>
                  <c:x val="-7.3333333333333375E-2"/>
                  <c:y val="4.7410009000673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DE-49AE-8119-5A4C6563294F}"/>
                </c:ext>
              </c:extLst>
            </c:dLbl>
            <c:dLbl>
              <c:idx val="3"/>
              <c:layout>
                <c:manualLayout>
                  <c:x val="-3.3144208037825015E-2"/>
                  <c:y val="3.7817682861584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DE-49AE-8119-5A4C6563294F}"/>
                </c:ext>
              </c:extLst>
            </c:dLbl>
            <c:dLbl>
              <c:idx val="5"/>
              <c:layout>
                <c:manualLayout>
                  <c:x val="-7.3333333333333334E-2"/>
                  <c:y val="3.7817682861584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DE-49AE-8119-5A4C6563294F}"/>
                </c:ext>
              </c:extLst>
            </c:dLbl>
            <c:dLbl>
              <c:idx val="7"/>
              <c:layout>
                <c:manualLayout>
                  <c:x val="-5.4420803782505994E-2"/>
                  <c:y val="-4.8513252390213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DE-49AE-8119-5A4C6563294F}"/>
                </c:ext>
              </c:extLst>
            </c:dLbl>
            <c:dLbl>
              <c:idx val="11"/>
              <c:layout>
                <c:manualLayout>
                  <c:x val="-6.7417397293423428E-2"/>
                  <c:y val="3.4620240815221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DE-49AE-8119-5A4C656329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 Optimization'!$F$16:$F$27</c:f>
              <c:numCache>
                <c:formatCode>mmm\-yy</c:formatCode>
                <c:ptCount val="12"/>
                <c:pt idx="0">
                  <c:v>44986</c:v>
                </c:pt>
                <c:pt idx="1">
                  <c:v>45017</c:v>
                </c:pt>
                <c:pt idx="2">
                  <c:v>45047</c:v>
                </c:pt>
                <c:pt idx="3">
                  <c:v>45078</c:v>
                </c:pt>
                <c:pt idx="4">
                  <c:v>45108</c:v>
                </c:pt>
                <c:pt idx="5">
                  <c:v>45139</c:v>
                </c:pt>
                <c:pt idx="6">
                  <c:v>45170</c:v>
                </c:pt>
                <c:pt idx="7">
                  <c:v>45200</c:v>
                </c:pt>
                <c:pt idx="8">
                  <c:v>45231</c:v>
                </c:pt>
                <c:pt idx="9">
                  <c:v>45261</c:v>
                </c:pt>
                <c:pt idx="10">
                  <c:v>45292</c:v>
                </c:pt>
                <c:pt idx="11">
                  <c:v>45323</c:v>
                </c:pt>
              </c:numCache>
            </c:numRef>
          </c:cat>
          <c:val>
            <c:numRef>
              <c:f>'Sales Optimization'!$G$16:$G$27</c:f>
              <c:numCache>
                <c:formatCode>\₹#,##0</c:formatCode>
                <c:ptCount val="12"/>
                <c:pt idx="0">
                  <c:v>789000</c:v>
                </c:pt>
                <c:pt idx="1">
                  <c:v>1704000</c:v>
                </c:pt>
                <c:pt idx="2">
                  <c:v>1582000</c:v>
                </c:pt>
                <c:pt idx="3">
                  <c:v>1040000</c:v>
                </c:pt>
                <c:pt idx="4">
                  <c:v>2568000</c:v>
                </c:pt>
                <c:pt idx="5">
                  <c:v>1800000</c:v>
                </c:pt>
                <c:pt idx="6">
                  <c:v>2927000</c:v>
                </c:pt>
                <c:pt idx="7">
                  <c:v>1497000</c:v>
                </c:pt>
                <c:pt idx="8">
                  <c:v>1151000</c:v>
                </c:pt>
                <c:pt idx="9">
                  <c:v>2774000</c:v>
                </c:pt>
                <c:pt idx="10">
                  <c:v>1555000</c:v>
                </c:pt>
                <c:pt idx="11">
                  <c:v>396000</c:v>
                </c:pt>
              </c:numCache>
            </c:numRef>
          </c:val>
          <c:smooth val="0"/>
          <c:extLst>
            <c:ext xmlns:c16="http://schemas.microsoft.com/office/drawing/2014/chart" uri="{C3380CC4-5D6E-409C-BE32-E72D297353CC}">
              <c16:uniqueId val="{00000000-D74C-4845-8069-B7F5C0C044F9}"/>
            </c:ext>
          </c:extLst>
        </c:ser>
        <c:dLbls>
          <c:dLblPos val="t"/>
          <c:showLegendKey val="0"/>
          <c:showVal val="1"/>
          <c:showCatName val="0"/>
          <c:showSerName val="0"/>
          <c:showPercent val="0"/>
          <c:showBubbleSize val="0"/>
        </c:dLbls>
        <c:marker val="1"/>
        <c:smooth val="0"/>
        <c:axId val="140403207"/>
        <c:axId val="140405255"/>
      </c:lineChart>
      <c:dateAx>
        <c:axId val="1404032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05255"/>
        <c:crosses val="autoZero"/>
        <c:auto val="1"/>
        <c:lblOffset val="100"/>
        <c:baseTimeUnit val="months"/>
      </c:dateAx>
      <c:valAx>
        <c:axId val="140405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03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 Sold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'Inventory Management'!$K$7</c:f>
              <c:strCache>
                <c:ptCount val="1"/>
                <c:pt idx="0">
                  <c:v>Units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 Management'!$J$8:$J$15</c:f>
              <c:strCache>
                <c:ptCount val="8"/>
                <c:pt idx="0">
                  <c:v>Digital SLR Camera</c:v>
                </c:pt>
                <c:pt idx="1">
                  <c:v>Bluetooth Headphones</c:v>
                </c:pt>
                <c:pt idx="2">
                  <c:v>Portable Bluetooth Speaker</c:v>
                </c:pt>
                <c:pt idx="3">
                  <c:v>E-Book Reader</c:v>
                </c:pt>
                <c:pt idx="4">
                  <c:v>Wireless Earbuds</c:v>
                </c:pt>
                <c:pt idx="5">
                  <c:v>Laptop 15" Pro</c:v>
                </c:pt>
                <c:pt idx="6">
                  <c:v>Smartwatch Fitness Tracker</c:v>
                </c:pt>
                <c:pt idx="7">
                  <c:v>Smartphone 6"</c:v>
                </c:pt>
              </c:strCache>
            </c:strRef>
          </c:cat>
          <c:val>
            <c:numRef>
              <c:f>'Inventory Management'!$K$8:$K$15</c:f>
              <c:numCache>
                <c:formatCode>General</c:formatCode>
                <c:ptCount val="8"/>
                <c:pt idx="0">
                  <c:v>151</c:v>
                </c:pt>
                <c:pt idx="1">
                  <c:v>135</c:v>
                </c:pt>
                <c:pt idx="2">
                  <c:v>134</c:v>
                </c:pt>
                <c:pt idx="3">
                  <c:v>130</c:v>
                </c:pt>
                <c:pt idx="4">
                  <c:v>130</c:v>
                </c:pt>
                <c:pt idx="5">
                  <c:v>126</c:v>
                </c:pt>
                <c:pt idx="6">
                  <c:v>119</c:v>
                </c:pt>
                <c:pt idx="7">
                  <c:v>108</c:v>
                </c:pt>
              </c:numCache>
            </c:numRef>
          </c:val>
          <c:extLst>
            <c:ext xmlns:c16="http://schemas.microsoft.com/office/drawing/2014/chart" uri="{C3380CC4-5D6E-409C-BE32-E72D297353CC}">
              <c16:uniqueId val="{00000000-910D-4B0A-90B7-F729B265E20D}"/>
            </c:ext>
          </c:extLst>
        </c:ser>
        <c:dLbls>
          <c:dLblPos val="outEnd"/>
          <c:showLegendKey val="0"/>
          <c:showVal val="1"/>
          <c:showCatName val="0"/>
          <c:showSerName val="0"/>
          <c:showPercent val="0"/>
          <c:showBubbleSize val="0"/>
        </c:dLbls>
        <c:gapWidth val="182"/>
        <c:axId val="135055367"/>
        <c:axId val="334651399"/>
      </c:barChart>
      <c:catAx>
        <c:axId val="13505536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Product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651399"/>
        <c:crosses val="autoZero"/>
        <c:auto val="1"/>
        <c:lblAlgn val="ctr"/>
        <c:lblOffset val="100"/>
        <c:noMultiLvlLbl val="0"/>
      </c:catAx>
      <c:valAx>
        <c:axId val="3346513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Units Sold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055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0</xdr:colOff>
      <xdr:row>18</xdr:row>
      <xdr:rowOff>0</xdr:rowOff>
    </xdr:from>
    <xdr:to>
      <xdr:col>15</xdr:col>
      <xdr:colOff>0</xdr:colOff>
      <xdr:row>33</xdr:row>
      <xdr:rowOff>0</xdr:rowOff>
    </xdr:to>
    <xdr:graphicFrame macro="">
      <xdr:nvGraphicFramePr>
        <xdr:cNvPr id="2" name="SummaryRevenueTrend">
          <a:extLst>
            <a:ext uri="{FF2B5EF4-FFF2-40B4-BE49-F238E27FC236}">
              <a16:creationId xmlns:a16="http://schemas.microsoft.com/office/drawing/2014/main" id="{D22B2385-0D00-FCC5-533C-D867C18EE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34</xdr:row>
      <xdr:rowOff>0</xdr:rowOff>
    </xdr:from>
    <xdr:to>
      <xdr:col>15</xdr:col>
      <xdr:colOff>0</xdr:colOff>
      <xdr:row>50</xdr:row>
      <xdr:rowOff>0</xdr:rowOff>
    </xdr:to>
    <xdr:graphicFrame macro="">
      <xdr:nvGraphicFramePr>
        <xdr:cNvPr id="5" name="SummaryCategoryRevenue">
          <a:extLst>
            <a:ext uri="{FF2B5EF4-FFF2-40B4-BE49-F238E27FC236}">
              <a16:creationId xmlns:a16="http://schemas.microsoft.com/office/drawing/2014/main" id="{74100E96-4BC6-9158-6C35-D6E1BE781678}"/>
            </a:ext>
            <a:ext uri="{147F2762-F138-4A5C-976F-8EAC2B608ADB}">
              <a16:predDERef xmlns:a16="http://schemas.microsoft.com/office/drawing/2014/main" pred="{D22B2385-0D00-FCC5-533C-D867C18EE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19</xdr:row>
      <xdr:rowOff>161925</xdr:rowOff>
    </xdr:from>
    <xdr:to>
      <xdr:col>13</xdr:col>
      <xdr:colOff>352425</xdr:colOff>
      <xdr:row>37</xdr:row>
      <xdr:rowOff>47625</xdr:rowOff>
    </xdr:to>
    <xdr:graphicFrame macro="">
      <xdr:nvGraphicFramePr>
        <xdr:cNvPr id="2" name="CustomerLocationRevenue">
          <a:extLst>
            <a:ext uri="{FF2B5EF4-FFF2-40B4-BE49-F238E27FC236}">
              <a16:creationId xmlns:a16="http://schemas.microsoft.com/office/drawing/2014/main" id="{C21E27F6-D486-1378-915C-7FEBCEDD7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409574</xdr:colOff>
      <xdr:row>18</xdr:row>
      <xdr:rowOff>57150</xdr:rowOff>
    </xdr:from>
    <xdr:to>
      <xdr:col>10</xdr:col>
      <xdr:colOff>419099</xdr:colOff>
      <xdr:row>35</xdr:row>
      <xdr:rowOff>85725</xdr:rowOff>
    </xdr:to>
    <xdr:graphicFrame macro="">
      <xdr:nvGraphicFramePr>
        <xdr:cNvPr id="2" name="ProductRevenueChart">
          <a:extLst>
            <a:ext uri="{FF2B5EF4-FFF2-40B4-BE49-F238E27FC236}">
              <a16:creationId xmlns:a16="http://schemas.microsoft.com/office/drawing/2014/main" id="{33FED661-131D-8491-F9DB-8DEE97839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809625</xdr:colOff>
      <xdr:row>14</xdr:row>
      <xdr:rowOff>171450</xdr:rowOff>
    </xdr:from>
    <xdr:to>
      <xdr:col>12</xdr:col>
      <xdr:colOff>66675</xdr:colOff>
      <xdr:row>39</xdr:row>
      <xdr:rowOff>66675</xdr:rowOff>
    </xdr:to>
    <xdr:graphicFrame macro="">
      <xdr:nvGraphicFramePr>
        <xdr:cNvPr id="2" name="MonthlySalesChart">
          <a:extLst>
            <a:ext uri="{FF2B5EF4-FFF2-40B4-BE49-F238E27FC236}">
              <a16:creationId xmlns:a16="http://schemas.microsoft.com/office/drawing/2014/main" id="{267C9A91-3569-566C-A706-EDBE59F05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114300</xdr:colOff>
      <xdr:row>21</xdr:row>
      <xdr:rowOff>66675</xdr:rowOff>
    </xdr:from>
    <xdr:to>
      <xdr:col>10</xdr:col>
      <xdr:colOff>733425</xdr:colOff>
      <xdr:row>37</xdr:row>
      <xdr:rowOff>95250</xdr:rowOff>
    </xdr:to>
    <xdr:graphicFrame macro="">
      <xdr:nvGraphicFramePr>
        <xdr:cNvPr id="2" name="DemandProxyChart">
          <a:extLst>
            <a:ext uri="{FF2B5EF4-FFF2-40B4-BE49-F238E27FC236}">
              <a16:creationId xmlns:a16="http://schemas.microsoft.com/office/drawing/2014/main" id="{F2100E20-9AB4-B8D7-809E-A9DDD3896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F4542-E51A-465E-A583-18A7342D4CE3}" name="Table1" displayName="Table1" ref="A1:D9" totalsRowShown="0" headerRowDxfId="22" dataDxfId="21">
  <autoFilter ref="A1:D9" xr:uid="{072F4542-E51A-465E-A583-18A7342D4CE3}"/>
  <tableColumns count="4">
    <tableColumn id="1" xr3:uid="{7F638D2B-F8DF-4CC7-BE3C-1794D3FF6361}" name="product_id" dataDxfId="20"/>
    <tableColumn id="2" xr3:uid="{2FFEDFAF-2057-46CB-86C3-C03C9831C6C9}" name="name" dataDxfId="19"/>
    <tableColumn id="3" xr3:uid="{E2F88035-D06D-4C2A-9CD1-A6CF8BC05E87}" name="category" dataDxfId="18"/>
    <tableColumn id="4" xr3:uid="{3AD155DF-87AA-4C09-9DEE-5BAC1C73C78B}" name="price" dataDxfId="17"/>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23594F-5A92-4A10-823C-724C61D2F6E4}" name="Table2" displayName="Table2" ref="A1:D520" totalsRowShown="0" headerRowDxfId="16" dataDxfId="15">
  <autoFilter ref="A1:D520" xr:uid="{4123594F-5A92-4A10-823C-724C61D2F6E4}"/>
  <tableColumns count="4">
    <tableColumn id="1" xr3:uid="{D60D632A-DC99-4B5B-876B-55FE3F12D55A}" name="order_id" dataDxfId="14"/>
    <tableColumn id="2" xr3:uid="{030A419D-DEDE-4E0B-9A85-971C85A6E434}" name="product_id" dataDxfId="13"/>
    <tableColumn id="3" xr3:uid="{4B2FDA78-914C-4D4C-A377-0B93E98944BE}" name="quantity" dataDxfId="12"/>
    <tableColumn id="4" xr3:uid="{807A6933-0954-456C-BA40-86600BC44906}" name="price_per_unit" dataDxfId="11"/>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3EC950-710B-482E-978A-8AF0CD8260F9}" name="Table3" displayName="Table3" ref="A1:C101" totalsRowShown="0" headerRowDxfId="10" dataDxfId="9">
  <autoFilter ref="A1:C101" xr:uid="{933EC950-710B-482E-978A-8AF0CD8260F9}"/>
  <tableColumns count="3">
    <tableColumn id="1" xr3:uid="{787AAE2A-206E-426D-90CF-DEBEEA2575DC}" name="customer_id" dataDxfId="8"/>
    <tableColumn id="2" xr3:uid="{B3F3F9EB-DFC5-4716-92B7-E43FCAD2F428}" name="name" dataDxfId="7"/>
    <tableColumn id="3" xr3:uid="{B4F236A7-9146-4F05-8EB1-3DEF8108C2E8}" name="location" dataDxfId="6"/>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C3B70D-238E-4AA7-B228-E0A70AA785CD}" name="Table4" displayName="Table4" ref="A1:D201" totalsRowShown="0" headerRowDxfId="5" dataDxfId="4">
  <autoFilter ref="A1:D201" xr:uid="{43C3B70D-238E-4AA7-B228-E0A70AA785CD}"/>
  <tableColumns count="4">
    <tableColumn id="1" xr3:uid="{3F042828-5DB6-4185-BB1B-B0B656F6A2AC}" name="order_id" dataDxfId="3"/>
    <tableColumn id="2" xr3:uid="{CA32BE1F-C259-4EE3-BE8C-D78FC76FA884}" name="order_date" dataDxfId="2"/>
    <tableColumn id="3" xr3:uid="{57650C66-C9F6-4F1A-959D-FB4ED55A35D2}" name="customer_id" dataDxfId="1"/>
    <tableColumn id="4" xr3:uid="{4CE88C99-BC4B-4C5C-9FAA-B9F7C7F70434}" name="total_amount" dataDxfId="0"/>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11F735-1C8B-464F-8F7D-767FE526ADDE}">
  <we:reference id="WA200010215" version="2.0.0.1" store="en-US" storeType="omex"/>
  <we:alternateReferences>
    <we:reference id="WA200010215" version="2.0.0.1" store="en-US" storeType="omex"/>
  </we:alternateReferences>
  <we:properties>
    <we:property name="bps.codex_control.document_id" value="&quot;3bf5527e-968d-4b5e-a43d-3c8fa86edf9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F1F96-12AA-43AB-A4B3-1ADD6940BF67}">
  <dimension ref="B3:S40"/>
  <sheetViews>
    <sheetView workbookViewId="0">
      <selection activeCell="W21" sqref="W21"/>
    </sheetView>
  </sheetViews>
  <sheetFormatPr defaultRowHeight="12.75" x14ac:dyDescent="0.2"/>
  <sheetData>
    <row r="3" spans="2:19" x14ac:dyDescent="0.2">
      <c r="B3" s="17" t="s">
        <v>258</v>
      </c>
      <c r="C3" s="18"/>
      <c r="D3" s="18"/>
      <c r="E3" s="18"/>
      <c r="F3" s="18"/>
      <c r="G3" s="18"/>
      <c r="H3" s="18"/>
      <c r="I3" s="18"/>
      <c r="J3" s="18"/>
      <c r="K3" s="18"/>
      <c r="L3" s="18"/>
      <c r="M3" s="18"/>
      <c r="N3" s="18"/>
      <c r="O3" s="18"/>
      <c r="P3" s="18"/>
      <c r="Q3" s="18"/>
      <c r="R3" s="18"/>
      <c r="S3" s="18"/>
    </row>
    <row r="4" spans="2:19" x14ac:dyDescent="0.2">
      <c r="B4" s="18"/>
      <c r="C4" s="18"/>
      <c r="D4" s="18"/>
      <c r="E4" s="18"/>
      <c r="F4" s="18"/>
      <c r="G4" s="18"/>
      <c r="H4" s="18"/>
      <c r="I4" s="18"/>
      <c r="J4" s="18"/>
      <c r="K4" s="18"/>
      <c r="L4" s="18"/>
      <c r="M4" s="18"/>
      <c r="N4" s="18"/>
      <c r="O4" s="18"/>
      <c r="P4" s="18"/>
      <c r="Q4" s="18"/>
      <c r="R4" s="18"/>
      <c r="S4" s="18"/>
    </row>
    <row r="5" spans="2:19" x14ac:dyDescent="0.2">
      <c r="B5" s="18"/>
      <c r="C5" s="18"/>
      <c r="D5" s="18"/>
      <c r="E5" s="18"/>
      <c r="F5" s="18"/>
      <c r="G5" s="18"/>
      <c r="H5" s="18"/>
      <c r="I5" s="18"/>
      <c r="J5" s="18"/>
      <c r="K5" s="18"/>
      <c r="L5" s="18"/>
      <c r="M5" s="18"/>
      <c r="N5" s="18"/>
      <c r="O5" s="18"/>
      <c r="P5" s="18"/>
      <c r="Q5" s="18"/>
      <c r="R5" s="18"/>
      <c r="S5" s="18"/>
    </row>
    <row r="6" spans="2:19" x14ac:dyDescent="0.2">
      <c r="B6" s="18"/>
      <c r="C6" s="18"/>
      <c r="D6" s="18"/>
      <c r="E6" s="18"/>
      <c r="F6" s="18"/>
      <c r="G6" s="18"/>
      <c r="H6" s="18"/>
      <c r="I6" s="18"/>
      <c r="J6" s="18"/>
      <c r="K6" s="18"/>
      <c r="L6" s="18"/>
      <c r="M6" s="18"/>
      <c r="N6" s="18"/>
      <c r="O6" s="18"/>
      <c r="P6" s="18"/>
      <c r="Q6" s="18"/>
      <c r="R6" s="18"/>
      <c r="S6" s="18"/>
    </row>
    <row r="7" spans="2:19" x14ac:dyDescent="0.2">
      <c r="B7" s="18"/>
      <c r="C7" s="18"/>
      <c r="D7" s="18"/>
      <c r="E7" s="18"/>
      <c r="F7" s="18"/>
      <c r="G7" s="18"/>
      <c r="H7" s="18"/>
      <c r="I7" s="18"/>
      <c r="J7" s="18"/>
      <c r="K7" s="18"/>
      <c r="L7" s="18"/>
      <c r="M7" s="18"/>
      <c r="N7" s="18"/>
      <c r="O7" s="18"/>
      <c r="P7" s="18"/>
      <c r="Q7" s="18"/>
      <c r="R7" s="18"/>
      <c r="S7" s="18"/>
    </row>
    <row r="8" spans="2:19" x14ac:dyDescent="0.2">
      <c r="B8" s="18"/>
      <c r="C8" s="18"/>
      <c r="D8" s="18"/>
      <c r="E8" s="18"/>
      <c r="F8" s="18"/>
      <c r="G8" s="18"/>
      <c r="H8" s="18"/>
      <c r="I8" s="18"/>
      <c r="J8" s="18"/>
      <c r="K8" s="18"/>
      <c r="L8" s="18"/>
      <c r="M8" s="18"/>
      <c r="N8" s="18"/>
      <c r="O8" s="18"/>
      <c r="P8" s="18"/>
      <c r="Q8" s="18"/>
      <c r="R8" s="18"/>
      <c r="S8" s="18"/>
    </row>
    <row r="9" spans="2:19" x14ac:dyDescent="0.2">
      <c r="B9" s="18"/>
      <c r="C9" s="18"/>
      <c r="D9" s="18"/>
      <c r="E9" s="18"/>
      <c r="F9" s="18"/>
      <c r="G9" s="18"/>
      <c r="H9" s="18"/>
      <c r="I9" s="18"/>
      <c r="J9" s="18"/>
      <c r="K9" s="18"/>
      <c r="L9" s="18"/>
      <c r="M9" s="18"/>
      <c r="N9" s="18"/>
      <c r="O9" s="18"/>
      <c r="P9" s="18"/>
      <c r="Q9" s="18"/>
      <c r="R9" s="18"/>
      <c r="S9" s="18"/>
    </row>
    <row r="10" spans="2:19" x14ac:dyDescent="0.2">
      <c r="B10" s="18"/>
      <c r="C10" s="18"/>
      <c r="D10" s="18"/>
      <c r="E10" s="18"/>
      <c r="F10" s="18"/>
      <c r="G10" s="18"/>
      <c r="H10" s="18"/>
      <c r="I10" s="18"/>
      <c r="J10" s="18"/>
      <c r="K10" s="18"/>
      <c r="L10" s="18"/>
      <c r="M10" s="18"/>
      <c r="N10" s="18"/>
      <c r="O10" s="18"/>
      <c r="P10" s="18"/>
      <c r="Q10" s="18"/>
      <c r="R10" s="18"/>
      <c r="S10" s="18"/>
    </row>
    <row r="11" spans="2:19" x14ac:dyDescent="0.2">
      <c r="B11" s="18"/>
      <c r="C11" s="18"/>
      <c r="D11" s="18"/>
      <c r="E11" s="18"/>
      <c r="F11" s="18"/>
      <c r="G11" s="18"/>
      <c r="H11" s="18"/>
      <c r="I11" s="18"/>
      <c r="J11" s="18"/>
      <c r="K11" s="18"/>
      <c r="L11" s="18"/>
      <c r="M11" s="18"/>
      <c r="N11" s="18"/>
      <c r="O11" s="18"/>
      <c r="P11" s="18"/>
      <c r="Q11" s="18"/>
      <c r="R11" s="18"/>
      <c r="S11" s="18"/>
    </row>
    <row r="12" spans="2:19" x14ac:dyDescent="0.2">
      <c r="B12" s="18"/>
      <c r="C12" s="18"/>
      <c r="D12" s="18"/>
      <c r="E12" s="18"/>
      <c r="F12" s="18"/>
      <c r="G12" s="18"/>
      <c r="H12" s="18"/>
      <c r="I12" s="18"/>
      <c r="J12" s="18"/>
      <c r="K12" s="18"/>
      <c r="L12" s="18"/>
      <c r="M12" s="18"/>
      <c r="N12" s="18"/>
      <c r="O12" s="18"/>
      <c r="P12" s="18"/>
      <c r="Q12" s="18"/>
      <c r="R12" s="18"/>
      <c r="S12" s="18"/>
    </row>
    <row r="13" spans="2:19" x14ac:dyDescent="0.2">
      <c r="B13" s="18"/>
      <c r="C13" s="18"/>
      <c r="D13" s="18"/>
      <c r="E13" s="18"/>
      <c r="F13" s="18"/>
      <c r="G13" s="18"/>
      <c r="H13" s="18"/>
      <c r="I13" s="18"/>
      <c r="J13" s="18"/>
      <c r="K13" s="18"/>
      <c r="L13" s="18"/>
      <c r="M13" s="18"/>
      <c r="N13" s="18"/>
      <c r="O13" s="18"/>
      <c r="P13" s="18"/>
      <c r="Q13" s="18"/>
      <c r="R13" s="18"/>
      <c r="S13" s="18"/>
    </row>
    <row r="14" spans="2:19" x14ac:dyDescent="0.2">
      <c r="B14" s="18"/>
      <c r="C14" s="18"/>
      <c r="D14" s="18"/>
      <c r="E14" s="18"/>
      <c r="F14" s="18"/>
      <c r="G14" s="18"/>
      <c r="H14" s="18"/>
      <c r="I14" s="18"/>
      <c r="J14" s="18"/>
      <c r="K14" s="18"/>
      <c r="L14" s="18"/>
      <c r="M14" s="18"/>
      <c r="N14" s="18"/>
      <c r="O14" s="18"/>
      <c r="P14" s="18"/>
      <c r="Q14" s="18"/>
      <c r="R14" s="18"/>
      <c r="S14" s="18"/>
    </row>
    <row r="15" spans="2:19" x14ac:dyDescent="0.2">
      <c r="B15" s="18"/>
      <c r="C15" s="18"/>
      <c r="D15" s="18"/>
      <c r="E15" s="18"/>
      <c r="F15" s="18"/>
      <c r="G15" s="18"/>
      <c r="H15" s="18"/>
      <c r="I15" s="18"/>
      <c r="J15" s="18"/>
      <c r="K15" s="18"/>
      <c r="L15" s="18"/>
      <c r="M15" s="18"/>
      <c r="N15" s="18"/>
      <c r="O15" s="18"/>
      <c r="P15" s="18"/>
      <c r="Q15" s="18"/>
      <c r="R15" s="18"/>
      <c r="S15" s="18"/>
    </row>
    <row r="16" spans="2:19" x14ac:dyDescent="0.2">
      <c r="B16" s="18"/>
      <c r="C16" s="18"/>
      <c r="D16" s="18"/>
      <c r="E16" s="18"/>
      <c r="F16" s="18"/>
      <c r="G16" s="18"/>
      <c r="H16" s="18"/>
      <c r="I16" s="18"/>
      <c r="J16" s="18"/>
      <c r="K16" s="18"/>
      <c r="L16" s="18"/>
      <c r="M16" s="18"/>
      <c r="N16" s="18"/>
      <c r="O16" s="18"/>
      <c r="P16" s="18"/>
      <c r="Q16" s="18"/>
      <c r="R16" s="18"/>
      <c r="S16" s="18"/>
    </row>
    <row r="17" spans="2:19" x14ac:dyDescent="0.2">
      <c r="B17" s="18"/>
      <c r="C17" s="18"/>
      <c r="D17" s="18"/>
      <c r="E17" s="18"/>
      <c r="F17" s="18"/>
      <c r="G17" s="18"/>
      <c r="H17" s="18"/>
      <c r="I17" s="18"/>
      <c r="J17" s="18"/>
      <c r="K17" s="18"/>
      <c r="L17" s="18"/>
      <c r="M17" s="18"/>
      <c r="N17" s="18"/>
      <c r="O17" s="18"/>
      <c r="P17" s="18"/>
      <c r="Q17" s="18"/>
      <c r="R17" s="18"/>
      <c r="S17" s="18"/>
    </row>
    <row r="18" spans="2:19" x14ac:dyDescent="0.2">
      <c r="B18" s="18"/>
      <c r="C18" s="18"/>
      <c r="D18" s="18"/>
      <c r="E18" s="18"/>
      <c r="F18" s="18"/>
      <c r="G18" s="18"/>
      <c r="H18" s="18"/>
      <c r="I18" s="18"/>
      <c r="J18" s="18"/>
      <c r="K18" s="18"/>
      <c r="L18" s="18"/>
      <c r="M18" s="18"/>
      <c r="N18" s="18"/>
      <c r="O18" s="18"/>
      <c r="P18" s="18"/>
      <c r="Q18" s="18"/>
      <c r="R18" s="18"/>
      <c r="S18" s="18"/>
    </row>
    <row r="19" spans="2:19" x14ac:dyDescent="0.2">
      <c r="B19" s="18"/>
      <c r="C19" s="18"/>
      <c r="D19" s="18"/>
      <c r="E19" s="18"/>
      <c r="F19" s="18"/>
      <c r="G19" s="18"/>
      <c r="H19" s="18"/>
      <c r="I19" s="18"/>
      <c r="J19" s="18"/>
      <c r="K19" s="18"/>
      <c r="L19" s="18"/>
      <c r="M19" s="18"/>
      <c r="N19" s="18"/>
      <c r="O19" s="18"/>
      <c r="P19" s="18"/>
      <c r="Q19" s="18"/>
      <c r="R19" s="18"/>
      <c r="S19" s="18"/>
    </row>
    <row r="20" spans="2:19" x14ac:dyDescent="0.2">
      <c r="B20" s="18"/>
      <c r="C20" s="18"/>
      <c r="D20" s="18"/>
      <c r="E20" s="18"/>
      <c r="F20" s="18"/>
      <c r="G20" s="18"/>
      <c r="H20" s="18"/>
      <c r="I20" s="18"/>
      <c r="J20" s="18"/>
      <c r="K20" s="18"/>
      <c r="L20" s="18"/>
      <c r="M20" s="18"/>
      <c r="N20" s="18"/>
      <c r="O20" s="18"/>
      <c r="P20" s="18"/>
      <c r="Q20" s="18"/>
      <c r="R20" s="18"/>
      <c r="S20" s="18"/>
    </row>
    <row r="21" spans="2:19" x14ac:dyDescent="0.2">
      <c r="B21" s="18"/>
      <c r="C21" s="18"/>
      <c r="D21" s="18"/>
      <c r="E21" s="18"/>
      <c r="F21" s="18"/>
      <c r="G21" s="18"/>
      <c r="H21" s="18"/>
      <c r="I21" s="18"/>
      <c r="J21" s="18"/>
      <c r="K21" s="18"/>
      <c r="L21" s="18"/>
      <c r="M21" s="18"/>
      <c r="N21" s="18"/>
      <c r="O21" s="18"/>
      <c r="P21" s="18"/>
      <c r="Q21" s="18"/>
      <c r="R21" s="18"/>
      <c r="S21" s="18"/>
    </row>
    <row r="22" spans="2:19" x14ac:dyDescent="0.2">
      <c r="B22" s="18"/>
      <c r="C22" s="18"/>
      <c r="D22" s="18"/>
      <c r="E22" s="18"/>
      <c r="F22" s="18"/>
      <c r="G22" s="18"/>
      <c r="H22" s="18"/>
      <c r="I22" s="18"/>
      <c r="J22" s="18"/>
      <c r="K22" s="18"/>
      <c r="L22" s="18"/>
      <c r="M22" s="18"/>
      <c r="N22" s="18"/>
      <c r="O22" s="18"/>
      <c r="P22" s="18"/>
      <c r="Q22" s="18"/>
      <c r="R22" s="18"/>
      <c r="S22" s="18"/>
    </row>
    <row r="23" spans="2:19" x14ac:dyDescent="0.2">
      <c r="B23" s="18"/>
      <c r="C23" s="18"/>
      <c r="D23" s="18"/>
      <c r="E23" s="18"/>
      <c r="F23" s="18"/>
      <c r="G23" s="18"/>
      <c r="H23" s="18"/>
      <c r="I23" s="18"/>
      <c r="J23" s="18"/>
      <c r="K23" s="18"/>
      <c r="L23" s="18"/>
      <c r="M23" s="18"/>
      <c r="N23" s="18"/>
      <c r="O23" s="18"/>
      <c r="P23" s="18"/>
      <c r="Q23" s="18"/>
      <c r="R23" s="18"/>
      <c r="S23" s="18"/>
    </row>
    <row r="24" spans="2:19" x14ac:dyDescent="0.2">
      <c r="B24" s="18"/>
      <c r="C24" s="18"/>
      <c r="D24" s="18"/>
      <c r="E24" s="18"/>
      <c r="F24" s="18"/>
      <c r="G24" s="18"/>
      <c r="H24" s="18"/>
      <c r="I24" s="18"/>
      <c r="J24" s="18"/>
      <c r="K24" s="18"/>
      <c r="L24" s="18"/>
      <c r="M24" s="18"/>
      <c r="N24" s="18"/>
      <c r="O24" s="18"/>
      <c r="P24" s="18"/>
      <c r="Q24" s="18"/>
      <c r="R24" s="18"/>
      <c r="S24" s="18"/>
    </row>
    <row r="25" spans="2:19" x14ac:dyDescent="0.2">
      <c r="B25" s="18"/>
      <c r="C25" s="18"/>
      <c r="D25" s="18"/>
      <c r="E25" s="18"/>
      <c r="F25" s="18"/>
      <c r="G25" s="18"/>
      <c r="H25" s="18"/>
      <c r="I25" s="18"/>
      <c r="J25" s="18"/>
      <c r="K25" s="18"/>
      <c r="L25" s="18"/>
      <c r="M25" s="18"/>
      <c r="N25" s="18"/>
      <c r="O25" s="18"/>
      <c r="P25" s="18"/>
      <c r="Q25" s="18"/>
      <c r="R25" s="18"/>
      <c r="S25" s="18"/>
    </row>
    <row r="26" spans="2:19" x14ac:dyDescent="0.2">
      <c r="B26" s="18"/>
      <c r="C26" s="18"/>
      <c r="D26" s="18"/>
      <c r="E26" s="18"/>
      <c r="F26" s="18"/>
      <c r="G26" s="18"/>
      <c r="H26" s="18"/>
      <c r="I26" s="18"/>
      <c r="J26" s="18"/>
      <c r="K26" s="18"/>
      <c r="L26" s="18"/>
      <c r="M26" s="18"/>
      <c r="N26" s="18"/>
      <c r="O26" s="18"/>
      <c r="P26" s="18"/>
      <c r="Q26" s="18"/>
      <c r="R26" s="18"/>
      <c r="S26" s="18"/>
    </row>
    <row r="27" spans="2:19" x14ac:dyDescent="0.2">
      <c r="B27" s="18"/>
      <c r="C27" s="18"/>
      <c r="D27" s="18"/>
      <c r="E27" s="18"/>
      <c r="F27" s="18"/>
      <c r="G27" s="18"/>
      <c r="H27" s="18"/>
      <c r="I27" s="18"/>
      <c r="J27" s="18"/>
      <c r="K27" s="18"/>
      <c r="L27" s="18"/>
      <c r="M27" s="18"/>
      <c r="N27" s="18"/>
      <c r="O27" s="18"/>
      <c r="P27" s="18"/>
      <c r="Q27" s="18"/>
      <c r="R27" s="18"/>
      <c r="S27" s="18"/>
    </row>
    <row r="28" spans="2:19" x14ac:dyDescent="0.2">
      <c r="B28" s="18"/>
      <c r="C28" s="18"/>
      <c r="D28" s="18"/>
      <c r="E28" s="18"/>
      <c r="F28" s="18"/>
      <c r="G28" s="18"/>
      <c r="H28" s="18"/>
      <c r="I28" s="18"/>
      <c r="J28" s="18"/>
      <c r="K28" s="18"/>
      <c r="L28" s="18"/>
      <c r="M28" s="18"/>
      <c r="N28" s="18"/>
      <c r="O28" s="18"/>
      <c r="P28" s="18"/>
      <c r="Q28" s="18"/>
      <c r="R28" s="18"/>
      <c r="S28" s="18"/>
    </row>
    <row r="29" spans="2:19" x14ac:dyDescent="0.2">
      <c r="B29" s="18"/>
      <c r="C29" s="18"/>
      <c r="D29" s="18"/>
      <c r="E29" s="18"/>
      <c r="F29" s="18"/>
      <c r="G29" s="18"/>
      <c r="H29" s="18"/>
      <c r="I29" s="18"/>
      <c r="J29" s="18"/>
      <c r="K29" s="18"/>
      <c r="L29" s="18"/>
      <c r="M29" s="18"/>
      <c r="N29" s="18"/>
      <c r="O29" s="18"/>
      <c r="P29" s="18"/>
      <c r="Q29" s="18"/>
      <c r="R29" s="18"/>
      <c r="S29" s="18"/>
    </row>
    <row r="30" spans="2:19" x14ac:dyDescent="0.2">
      <c r="B30" s="18"/>
      <c r="C30" s="18"/>
      <c r="D30" s="18"/>
      <c r="E30" s="18"/>
      <c r="F30" s="18"/>
      <c r="G30" s="18"/>
      <c r="H30" s="18"/>
      <c r="I30" s="18"/>
      <c r="J30" s="18"/>
      <c r="K30" s="18"/>
      <c r="L30" s="18"/>
      <c r="M30" s="18"/>
      <c r="N30" s="18"/>
      <c r="O30" s="18"/>
      <c r="P30" s="18"/>
      <c r="Q30" s="18"/>
      <c r="R30" s="18"/>
      <c r="S30" s="18"/>
    </row>
    <row r="31" spans="2:19" x14ac:dyDescent="0.2">
      <c r="B31" s="18"/>
      <c r="C31" s="18"/>
      <c r="D31" s="18"/>
      <c r="E31" s="18"/>
      <c r="F31" s="18"/>
      <c r="G31" s="18"/>
      <c r="H31" s="18"/>
      <c r="I31" s="18"/>
      <c r="J31" s="18"/>
      <c r="K31" s="18"/>
      <c r="L31" s="18"/>
      <c r="M31" s="18"/>
      <c r="N31" s="18"/>
      <c r="O31" s="18"/>
      <c r="P31" s="18"/>
      <c r="Q31" s="18"/>
      <c r="R31" s="18"/>
      <c r="S31" s="18"/>
    </row>
    <row r="32" spans="2:19" x14ac:dyDescent="0.2">
      <c r="B32" s="18"/>
      <c r="C32" s="18"/>
      <c r="D32" s="18"/>
      <c r="E32" s="18"/>
      <c r="F32" s="18"/>
      <c r="G32" s="18"/>
      <c r="H32" s="18"/>
      <c r="I32" s="18"/>
      <c r="J32" s="18"/>
      <c r="K32" s="18"/>
      <c r="L32" s="18"/>
      <c r="M32" s="18"/>
      <c r="N32" s="18"/>
      <c r="O32" s="18"/>
      <c r="P32" s="18"/>
      <c r="Q32" s="18"/>
      <c r="R32" s="18"/>
      <c r="S32" s="18"/>
    </row>
    <row r="33" spans="2:19" x14ac:dyDescent="0.2">
      <c r="B33" s="18"/>
      <c r="C33" s="18"/>
      <c r="D33" s="18"/>
      <c r="E33" s="18"/>
      <c r="F33" s="18"/>
      <c r="G33" s="18"/>
      <c r="H33" s="18"/>
      <c r="I33" s="18"/>
      <c r="J33" s="18"/>
      <c r="K33" s="18"/>
      <c r="L33" s="18"/>
      <c r="M33" s="18"/>
      <c r="N33" s="18"/>
      <c r="O33" s="18"/>
      <c r="P33" s="18"/>
      <c r="Q33" s="18"/>
      <c r="R33" s="18"/>
      <c r="S33" s="18"/>
    </row>
    <row r="34" spans="2:19" x14ac:dyDescent="0.2">
      <c r="B34" s="18"/>
      <c r="C34" s="18"/>
      <c r="D34" s="18"/>
      <c r="E34" s="18"/>
      <c r="F34" s="18"/>
      <c r="G34" s="18"/>
      <c r="H34" s="18"/>
      <c r="I34" s="18"/>
      <c r="J34" s="18"/>
      <c r="K34" s="18"/>
      <c r="L34" s="18"/>
      <c r="M34" s="18"/>
      <c r="N34" s="18"/>
      <c r="O34" s="18"/>
      <c r="P34" s="18"/>
      <c r="Q34" s="18"/>
      <c r="R34" s="18"/>
      <c r="S34" s="18"/>
    </row>
    <row r="35" spans="2:19" x14ac:dyDescent="0.2">
      <c r="B35" s="18"/>
      <c r="C35" s="18"/>
      <c r="D35" s="18"/>
      <c r="E35" s="18"/>
      <c r="F35" s="18"/>
      <c r="G35" s="18"/>
      <c r="H35" s="18"/>
      <c r="I35" s="18"/>
      <c r="J35" s="18"/>
      <c r="K35" s="18"/>
      <c r="L35" s="18"/>
      <c r="M35" s="18"/>
      <c r="N35" s="18"/>
      <c r="O35" s="18"/>
      <c r="P35" s="18"/>
      <c r="Q35" s="18"/>
      <c r="R35" s="18"/>
      <c r="S35" s="18"/>
    </row>
    <row r="36" spans="2:19" x14ac:dyDescent="0.2">
      <c r="B36" s="18"/>
      <c r="C36" s="18"/>
      <c r="D36" s="18"/>
      <c r="E36" s="18"/>
      <c r="F36" s="18"/>
      <c r="G36" s="18"/>
      <c r="H36" s="18"/>
      <c r="I36" s="18"/>
      <c r="J36" s="18"/>
      <c r="K36" s="18"/>
      <c r="L36" s="18"/>
      <c r="M36" s="18"/>
      <c r="N36" s="18"/>
      <c r="O36" s="18"/>
      <c r="P36" s="18"/>
      <c r="Q36" s="18"/>
      <c r="R36" s="18"/>
      <c r="S36" s="18"/>
    </row>
    <row r="37" spans="2:19" x14ac:dyDescent="0.2">
      <c r="B37" s="18"/>
      <c r="C37" s="18"/>
      <c r="D37" s="18"/>
      <c r="E37" s="18"/>
      <c r="F37" s="18"/>
      <c r="G37" s="18"/>
      <c r="H37" s="18"/>
      <c r="I37" s="18"/>
      <c r="J37" s="18"/>
      <c r="K37" s="18"/>
      <c r="L37" s="18"/>
      <c r="M37" s="18"/>
      <c r="N37" s="18"/>
      <c r="O37" s="18"/>
      <c r="P37" s="18"/>
      <c r="Q37" s="18"/>
      <c r="R37" s="18"/>
      <c r="S37" s="18"/>
    </row>
    <row r="38" spans="2:19" x14ac:dyDescent="0.2">
      <c r="B38" s="18"/>
      <c r="C38" s="18"/>
      <c r="D38" s="18"/>
      <c r="E38" s="18"/>
      <c r="F38" s="18"/>
      <c r="G38" s="18"/>
      <c r="H38" s="18"/>
      <c r="I38" s="18"/>
      <c r="J38" s="18"/>
      <c r="K38" s="18"/>
      <c r="L38" s="18"/>
      <c r="M38" s="18"/>
      <c r="N38" s="18"/>
      <c r="O38" s="18"/>
      <c r="P38" s="18"/>
      <c r="Q38" s="18"/>
      <c r="R38" s="18"/>
      <c r="S38" s="18"/>
    </row>
    <row r="39" spans="2:19" x14ac:dyDescent="0.2">
      <c r="B39" s="18"/>
      <c r="C39" s="18"/>
      <c r="D39" s="18"/>
      <c r="E39" s="18"/>
      <c r="F39" s="18"/>
      <c r="G39" s="18"/>
      <c r="H39" s="18"/>
      <c r="I39" s="18"/>
      <c r="J39" s="18"/>
      <c r="K39" s="18"/>
      <c r="L39" s="18"/>
      <c r="M39" s="18"/>
      <c r="N39" s="18"/>
      <c r="O39" s="18"/>
      <c r="P39" s="18"/>
      <c r="Q39" s="18"/>
      <c r="R39" s="18"/>
      <c r="S39" s="18"/>
    </row>
    <row r="40" spans="2:19" x14ac:dyDescent="0.2">
      <c r="B40" s="18"/>
      <c r="C40" s="18"/>
      <c r="D40" s="18"/>
      <c r="E40" s="18"/>
      <c r="F40" s="18"/>
      <c r="G40" s="18"/>
      <c r="H40" s="18"/>
      <c r="I40" s="18"/>
      <c r="J40" s="18"/>
      <c r="K40" s="18"/>
      <c r="L40" s="18"/>
      <c r="M40" s="18"/>
      <c r="N40" s="18"/>
      <c r="O40" s="18"/>
      <c r="P40" s="18"/>
      <c r="Q40" s="18"/>
      <c r="R40" s="18"/>
      <c r="S40" s="18"/>
    </row>
  </sheetData>
  <mergeCells count="1">
    <mergeCell ref="B3:S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
  <sheetViews>
    <sheetView workbookViewId="0">
      <selection activeCell="H10" sqref="H10"/>
    </sheetView>
  </sheetViews>
  <sheetFormatPr defaultColWidth="12.7109375" defaultRowHeight="15.75" customHeight="1" x14ac:dyDescent="0.2"/>
  <cols>
    <col min="1" max="1" width="12.85546875" bestFit="1" customWidth="1"/>
    <col min="2" max="2" width="24.7109375" bestFit="1" customWidth="1"/>
    <col min="3" max="3" width="13.5703125" bestFit="1" customWidth="1"/>
    <col min="4" max="4" width="7.85546875" bestFit="1" customWidth="1"/>
  </cols>
  <sheetData>
    <row r="1" spans="1:26" ht="15.75" customHeight="1" x14ac:dyDescent="0.2">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5.75" customHeight="1" x14ac:dyDescent="0.2">
      <c r="A2" s="2">
        <v>1</v>
      </c>
      <c r="B2" s="2" t="s">
        <v>4</v>
      </c>
      <c r="C2" s="2" t="s">
        <v>5</v>
      </c>
      <c r="D2" s="2">
        <v>15000</v>
      </c>
    </row>
    <row r="3" spans="1:26" ht="15.75" customHeight="1" x14ac:dyDescent="0.2">
      <c r="A3" s="2">
        <v>2</v>
      </c>
      <c r="B3" s="2" t="s">
        <v>6</v>
      </c>
      <c r="C3" s="2" t="s">
        <v>5</v>
      </c>
      <c r="D3" s="2">
        <v>60000</v>
      </c>
    </row>
    <row r="4" spans="1:26" ht="15.75" customHeight="1" x14ac:dyDescent="0.2">
      <c r="A4" s="2">
        <v>3</v>
      </c>
      <c r="B4" s="2" t="s">
        <v>7</v>
      </c>
      <c r="C4" s="2" t="s">
        <v>5</v>
      </c>
      <c r="D4" s="2">
        <v>8000</v>
      </c>
    </row>
    <row r="5" spans="1:26" ht="15.75" customHeight="1" x14ac:dyDescent="0.2">
      <c r="A5" s="2">
        <v>4</v>
      </c>
      <c r="B5" s="2" t="s">
        <v>8</v>
      </c>
      <c r="C5" s="2" t="s">
        <v>5</v>
      </c>
      <c r="D5" s="2">
        <v>12000</v>
      </c>
    </row>
    <row r="6" spans="1:26" ht="15.75" customHeight="1" x14ac:dyDescent="0.2">
      <c r="A6" s="2">
        <v>5</v>
      </c>
      <c r="B6" s="2" t="s">
        <v>9</v>
      </c>
      <c r="C6" s="2" t="s">
        <v>10</v>
      </c>
      <c r="D6" s="2">
        <v>5000</v>
      </c>
    </row>
    <row r="7" spans="1:26" ht="15.75" customHeight="1" x14ac:dyDescent="0.2">
      <c r="A7" s="2">
        <v>6</v>
      </c>
      <c r="B7" s="2" t="s">
        <v>11</v>
      </c>
      <c r="C7" s="2" t="s">
        <v>5</v>
      </c>
      <c r="D7" s="2">
        <v>7000</v>
      </c>
    </row>
    <row r="8" spans="1:26" ht="15.75" customHeight="1" x14ac:dyDescent="0.2">
      <c r="A8" s="2">
        <v>7</v>
      </c>
      <c r="B8" s="2" t="s">
        <v>12</v>
      </c>
      <c r="C8" s="2" t="s">
        <v>13</v>
      </c>
      <c r="D8" s="2">
        <v>40000</v>
      </c>
    </row>
    <row r="9" spans="1:26" ht="15.75" customHeight="1" x14ac:dyDescent="0.2">
      <c r="A9" s="2">
        <v>8</v>
      </c>
      <c r="B9" s="2" t="s">
        <v>14</v>
      </c>
      <c r="C9" s="2" t="s">
        <v>10</v>
      </c>
      <c r="D9" s="2">
        <v>3000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20"/>
  <sheetViews>
    <sheetView workbookViewId="0">
      <selection sqref="A1:D520"/>
    </sheetView>
  </sheetViews>
  <sheetFormatPr defaultColWidth="12.7109375" defaultRowHeight="15.75" customHeight="1" x14ac:dyDescent="0.2"/>
  <cols>
    <col min="1" max="1" width="10.85546875" bestFit="1" customWidth="1"/>
    <col min="2" max="2" width="12.85546875" bestFit="1" customWidth="1"/>
    <col min="3" max="3" width="10.5703125" bestFit="1" customWidth="1"/>
    <col min="4" max="4" width="16.42578125" bestFit="1" customWidth="1"/>
  </cols>
  <sheetData>
    <row r="1" spans="1:26" ht="15.75" customHeight="1" x14ac:dyDescent="0.2">
      <c r="A1" s="1" t="s">
        <v>15</v>
      </c>
      <c r="B1" s="1" t="s">
        <v>0</v>
      </c>
      <c r="C1" s="1" t="s">
        <v>16</v>
      </c>
      <c r="D1" s="1" t="s">
        <v>17</v>
      </c>
      <c r="E1" s="1"/>
      <c r="F1" s="1"/>
      <c r="G1" s="1"/>
      <c r="H1" s="1"/>
      <c r="I1" s="1"/>
      <c r="J1" s="1"/>
      <c r="K1" s="1"/>
      <c r="L1" s="1"/>
      <c r="M1" s="1"/>
      <c r="N1" s="1"/>
      <c r="O1" s="1"/>
      <c r="P1" s="1"/>
      <c r="Q1" s="1"/>
      <c r="R1" s="1"/>
      <c r="S1" s="1"/>
      <c r="T1" s="1"/>
      <c r="U1" s="1"/>
      <c r="V1" s="1"/>
      <c r="W1" s="1"/>
      <c r="X1" s="1"/>
      <c r="Y1" s="1"/>
      <c r="Z1" s="1"/>
    </row>
    <row r="2" spans="1:26" ht="15.75" customHeight="1" x14ac:dyDescent="0.2">
      <c r="A2" s="2">
        <v>1</v>
      </c>
      <c r="B2" s="2">
        <v>1</v>
      </c>
      <c r="C2" s="2">
        <v>3</v>
      </c>
      <c r="D2" s="2">
        <v>15000</v>
      </c>
    </row>
    <row r="3" spans="1:26" ht="15.75" customHeight="1" x14ac:dyDescent="0.2">
      <c r="A3" s="2">
        <v>2</v>
      </c>
      <c r="B3" s="2">
        <v>3</v>
      </c>
      <c r="C3" s="2">
        <v>2</v>
      </c>
      <c r="D3" s="2">
        <v>8000</v>
      </c>
    </row>
    <row r="4" spans="1:26" ht="15.75" customHeight="1" x14ac:dyDescent="0.2">
      <c r="A4" s="2">
        <v>3</v>
      </c>
      <c r="B4" s="2">
        <v>2</v>
      </c>
      <c r="C4" s="2">
        <v>1</v>
      </c>
      <c r="D4" s="2">
        <v>60000</v>
      </c>
    </row>
    <row r="5" spans="1:26" ht="15.75" customHeight="1" x14ac:dyDescent="0.2">
      <c r="A5" s="2">
        <v>3</v>
      </c>
      <c r="B5" s="2">
        <v>7</v>
      </c>
      <c r="C5" s="2">
        <v>2</v>
      </c>
      <c r="D5" s="2">
        <v>40000</v>
      </c>
    </row>
    <row r="6" spans="1:26" ht="15.75" customHeight="1" x14ac:dyDescent="0.2">
      <c r="A6" s="2">
        <v>3</v>
      </c>
      <c r="B6" s="2">
        <v>7</v>
      </c>
      <c r="C6" s="2">
        <v>3</v>
      </c>
      <c r="D6" s="2">
        <v>40000</v>
      </c>
    </row>
    <row r="7" spans="1:26" ht="15.75" customHeight="1" x14ac:dyDescent="0.2">
      <c r="A7" s="2">
        <v>4</v>
      </c>
      <c r="B7" s="2">
        <v>4</v>
      </c>
      <c r="C7" s="2">
        <v>1</v>
      </c>
      <c r="D7" s="2">
        <v>12000</v>
      </c>
    </row>
    <row r="8" spans="1:26" ht="15.75" customHeight="1" x14ac:dyDescent="0.2">
      <c r="A8" s="2">
        <v>4</v>
      </c>
      <c r="B8" s="2">
        <v>1</v>
      </c>
      <c r="C8" s="2">
        <v>1</v>
      </c>
      <c r="D8" s="2">
        <v>15000</v>
      </c>
    </row>
    <row r="9" spans="1:26" ht="15.75" customHeight="1" x14ac:dyDescent="0.2">
      <c r="A9" s="2">
        <v>5</v>
      </c>
      <c r="B9" s="2">
        <v>5</v>
      </c>
      <c r="C9" s="2">
        <v>1</v>
      </c>
      <c r="D9" s="2">
        <v>5000</v>
      </c>
    </row>
    <row r="10" spans="1:26" ht="15.75" customHeight="1" x14ac:dyDescent="0.2">
      <c r="A10" s="2">
        <v>5</v>
      </c>
      <c r="B10" s="2">
        <v>4</v>
      </c>
      <c r="C10" s="2">
        <v>3</v>
      </c>
      <c r="D10" s="2">
        <v>12000</v>
      </c>
    </row>
    <row r="11" spans="1:26" ht="15.75" customHeight="1" x14ac:dyDescent="0.2">
      <c r="A11" s="2">
        <v>5</v>
      </c>
      <c r="B11" s="2">
        <v>2</v>
      </c>
      <c r="C11" s="2">
        <v>3</v>
      </c>
      <c r="D11" s="2">
        <v>60000</v>
      </c>
    </row>
    <row r="12" spans="1:26" ht="15.75" customHeight="1" x14ac:dyDescent="0.2">
      <c r="A12" s="2">
        <v>6</v>
      </c>
      <c r="B12" s="2">
        <v>7</v>
      </c>
      <c r="C12" s="2">
        <v>1</v>
      </c>
      <c r="D12" s="2">
        <v>40000</v>
      </c>
    </row>
    <row r="13" spans="1:26" ht="15.75" customHeight="1" x14ac:dyDescent="0.2">
      <c r="A13" s="2">
        <v>6</v>
      </c>
      <c r="B13" s="2">
        <v>7</v>
      </c>
      <c r="C13" s="2">
        <v>2</v>
      </c>
      <c r="D13" s="2">
        <v>40000</v>
      </c>
    </row>
    <row r="14" spans="1:26" ht="15.75" customHeight="1" x14ac:dyDescent="0.2">
      <c r="A14" s="2">
        <v>7</v>
      </c>
      <c r="B14" s="2">
        <v>1</v>
      </c>
      <c r="C14" s="2">
        <v>2</v>
      </c>
      <c r="D14" s="2">
        <v>15000</v>
      </c>
    </row>
    <row r="15" spans="1:26" ht="15.75" customHeight="1" x14ac:dyDescent="0.2">
      <c r="A15" s="2">
        <v>8</v>
      </c>
      <c r="B15" s="2">
        <v>7</v>
      </c>
      <c r="C15" s="2">
        <v>1</v>
      </c>
      <c r="D15" s="2">
        <v>40000</v>
      </c>
    </row>
    <row r="16" spans="1:26" ht="15.75" customHeight="1" x14ac:dyDescent="0.2">
      <c r="A16" s="2">
        <v>8</v>
      </c>
      <c r="B16" s="2">
        <v>4</v>
      </c>
      <c r="C16" s="2">
        <v>1</v>
      </c>
      <c r="D16" s="2">
        <v>12000</v>
      </c>
    </row>
    <row r="17" spans="1:4" ht="15.75" customHeight="1" x14ac:dyDescent="0.2">
      <c r="A17" s="2">
        <v>8</v>
      </c>
      <c r="B17" s="2">
        <v>8</v>
      </c>
      <c r="C17" s="2">
        <v>1</v>
      </c>
      <c r="D17" s="2">
        <v>3000</v>
      </c>
    </row>
    <row r="18" spans="1:4" ht="15.75" customHeight="1" x14ac:dyDescent="0.2">
      <c r="A18" s="2">
        <v>8</v>
      </c>
      <c r="B18" s="2">
        <v>8</v>
      </c>
      <c r="C18" s="2">
        <v>3</v>
      </c>
      <c r="D18" s="2">
        <v>3000</v>
      </c>
    </row>
    <row r="19" spans="1:4" ht="15.75" customHeight="1" x14ac:dyDescent="0.2">
      <c r="A19" s="2">
        <v>9</v>
      </c>
      <c r="B19" s="2">
        <v>1</v>
      </c>
      <c r="C19" s="2">
        <v>2</v>
      </c>
      <c r="D19" s="2">
        <v>15000</v>
      </c>
    </row>
    <row r="20" spans="1:4" ht="15.75" customHeight="1" x14ac:dyDescent="0.2">
      <c r="A20" s="2">
        <v>9</v>
      </c>
      <c r="B20" s="2">
        <v>3</v>
      </c>
      <c r="C20" s="2">
        <v>2</v>
      </c>
      <c r="D20" s="2">
        <v>8000</v>
      </c>
    </row>
    <row r="21" spans="1:4" ht="15.75" customHeight="1" x14ac:dyDescent="0.2">
      <c r="A21" s="2">
        <v>9</v>
      </c>
      <c r="B21" s="2">
        <v>3</v>
      </c>
      <c r="C21" s="2">
        <v>3</v>
      </c>
      <c r="D21" s="2">
        <v>8000</v>
      </c>
    </row>
    <row r="22" spans="1:4" ht="15.75" customHeight="1" x14ac:dyDescent="0.2">
      <c r="A22" s="2">
        <v>9</v>
      </c>
      <c r="B22" s="2">
        <v>2</v>
      </c>
      <c r="C22" s="2">
        <v>3</v>
      </c>
      <c r="D22" s="2">
        <v>60000</v>
      </c>
    </row>
    <row r="23" spans="1:4" ht="15.75" customHeight="1" x14ac:dyDescent="0.2">
      <c r="A23" s="2">
        <v>10</v>
      </c>
      <c r="B23" s="2">
        <v>4</v>
      </c>
      <c r="C23" s="2">
        <v>3</v>
      </c>
      <c r="D23" s="2">
        <v>12000</v>
      </c>
    </row>
    <row r="24" spans="1:4" ht="15.75" customHeight="1" x14ac:dyDescent="0.2">
      <c r="A24" s="2">
        <v>10</v>
      </c>
      <c r="B24" s="2">
        <v>4</v>
      </c>
      <c r="C24" s="2">
        <v>1</v>
      </c>
      <c r="D24" s="2">
        <v>12000</v>
      </c>
    </row>
    <row r="25" spans="1:4" ht="15.75" customHeight="1" x14ac:dyDescent="0.2">
      <c r="A25" s="2">
        <v>10</v>
      </c>
      <c r="B25" s="2">
        <v>5</v>
      </c>
      <c r="C25" s="2">
        <v>1</v>
      </c>
      <c r="D25" s="2">
        <v>5000</v>
      </c>
    </row>
    <row r="26" spans="1:4" ht="15.75" customHeight="1" x14ac:dyDescent="0.2">
      <c r="A26" s="2">
        <v>11</v>
      </c>
      <c r="B26" s="2">
        <v>8</v>
      </c>
      <c r="C26" s="2">
        <v>3</v>
      </c>
      <c r="D26" s="2">
        <v>3000</v>
      </c>
    </row>
    <row r="27" spans="1:4" ht="15.75" customHeight="1" x14ac:dyDescent="0.2">
      <c r="A27" s="2">
        <v>11</v>
      </c>
      <c r="B27" s="2">
        <v>1</v>
      </c>
      <c r="C27" s="2">
        <v>3</v>
      </c>
      <c r="D27" s="2">
        <v>15000</v>
      </c>
    </row>
    <row r="28" spans="1:4" ht="15.75" customHeight="1" x14ac:dyDescent="0.2">
      <c r="A28" s="2">
        <v>11</v>
      </c>
      <c r="B28" s="2">
        <v>5</v>
      </c>
      <c r="C28" s="2">
        <v>3</v>
      </c>
      <c r="D28" s="2">
        <v>5000</v>
      </c>
    </row>
    <row r="29" spans="1:4" ht="15.75" customHeight="1" x14ac:dyDescent="0.2">
      <c r="A29" s="2">
        <v>11</v>
      </c>
      <c r="B29" s="2">
        <v>2</v>
      </c>
      <c r="C29" s="2">
        <v>1</v>
      </c>
      <c r="D29" s="2">
        <v>60000</v>
      </c>
    </row>
    <row r="30" spans="1:4" ht="15.75" customHeight="1" x14ac:dyDescent="0.2">
      <c r="A30" s="2">
        <v>12</v>
      </c>
      <c r="B30" s="2">
        <v>8</v>
      </c>
      <c r="C30" s="2">
        <v>3</v>
      </c>
      <c r="D30" s="2">
        <v>3000</v>
      </c>
    </row>
    <row r="31" spans="1:4" ht="15.75" customHeight="1" x14ac:dyDescent="0.2">
      <c r="A31" s="2">
        <v>12</v>
      </c>
      <c r="B31" s="2">
        <v>8</v>
      </c>
      <c r="C31" s="2">
        <v>2</v>
      </c>
      <c r="D31" s="2">
        <v>3000</v>
      </c>
    </row>
    <row r="32" spans="1:4" ht="15.75" customHeight="1" x14ac:dyDescent="0.2">
      <c r="A32" s="2">
        <v>13</v>
      </c>
      <c r="B32" s="2">
        <v>1</v>
      </c>
      <c r="C32" s="2">
        <v>2</v>
      </c>
      <c r="D32" s="2">
        <v>15000</v>
      </c>
    </row>
    <row r="33" spans="1:4" ht="15.75" customHeight="1" x14ac:dyDescent="0.2">
      <c r="A33" s="2">
        <v>13</v>
      </c>
      <c r="B33" s="2">
        <v>8</v>
      </c>
      <c r="C33" s="2">
        <v>1</v>
      </c>
      <c r="D33" s="2">
        <v>3000</v>
      </c>
    </row>
    <row r="34" spans="1:4" ht="15.75" customHeight="1" x14ac:dyDescent="0.2">
      <c r="A34" s="2">
        <v>13</v>
      </c>
      <c r="B34" s="2">
        <v>7</v>
      </c>
      <c r="C34" s="2">
        <v>3</v>
      </c>
      <c r="D34" s="2">
        <v>40000</v>
      </c>
    </row>
    <row r="35" spans="1:4" ht="15.75" customHeight="1" x14ac:dyDescent="0.2">
      <c r="A35" s="2">
        <v>13</v>
      </c>
      <c r="B35" s="2">
        <v>5</v>
      </c>
      <c r="C35" s="2">
        <v>1</v>
      </c>
      <c r="D35" s="2">
        <v>5000</v>
      </c>
    </row>
    <row r="36" spans="1:4" ht="15.75" customHeight="1" x14ac:dyDescent="0.2">
      <c r="A36" s="2">
        <v>14</v>
      </c>
      <c r="B36" s="2">
        <v>4</v>
      </c>
      <c r="C36" s="2">
        <v>1</v>
      </c>
      <c r="D36" s="2">
        <v>12000</v>
      </c>
    </row>
    <row r="37" spans="1:4" ht="15.75" customHeight="1" x14ac:dyDescent="0.2">
      <c r="A37" s="2">
        <v>14</v>
      </c>
      <c r="B37" s="2">
        <v>2</v>
      </c>
      <c r="C37" s="2">
        <v>1</v>
      </c>
      <c r="D37" s="2">
        <v>60000</v>
      </c>
    </row>
    <row r="38" spans="1:4" ht="15.75" customHeight="1" x14ac:dyDescent="0.2">
      <c r="A38" s="2">
        <v>15</v>
      </c>
      <c r="B38" s="2">
        <v>6</v>
      </c>
      <c r="C38" s="2">
        <v>3</v>
      </c>
      <c r="D38" s="2">
        <v>7000</v>
      </c>
    </row>
    <row r="39" spans="1:4" ht="15.75" customHeight="1" x14ac:dyDescent="0.2">
      <c r="A39" s="2">
        <v>16</v>
      </c>
      <c r="B39" s="2">
        <v>7</v>
      </c>
      <c r="C39" s="2">
        <v>3</v>
      </c>
      <c r="D39" s="2">
        <v>40000</v>
      </c>
    </row>
    <row r="40" spans="1:4" ht="15.75" customHeight="1" x14ac:dyDescent="0.2">
      <c r="A40" s="2">
        <v>16</v>
      </c>
      <c r="B40" s="2">
        <v>7</v>
      </c>
      <c r="C40" s="2">
        <v>2</v>
      </c>
      <c r="D40" s="2">
        <v>40000</v>
      </c>
    </row>
    <row r="41" spans="1:4" ht="15.75" customHeight="1" x14ac:dyDescent="0.2">
      <c r="A41" s="2">
        <v>16</v>
      </c>
      <c r="B41" s="2">
        <v>2</v>
      </c>
      <c r="C41" s="2">
        <v>1</v>
      </c>
      <c r="D41" s="2">
        <v>60000</v>
      </c>
    </row>
    <row r="42" spans="1:4" ht="15.75" customHeight="1" x14ac:dyDescent="0.2">
      <c r="A42" s="2">
        <v>16</v>
      </c>
      <c r="B42" s="2">
        <v>7</v>
      </c>
      <c r="C42" s="2">
        <v>2</v>
      </c>
      <c r="D42" s="2">
        <v>40000</v>
      </c>
    </row>
    <row r="43" spans="1:4" ht="15.75" customHeight="1" x14ac:dyDescent="0.2">
      <c r="A43" s="2">
        <v>17</v>
      </c>
      <c r="B43" s="2">
        <v>8</v>
      </c>
      <c r="C43" s="2">
        <v>2</v>
      </c>
      <c r="D43" s="2">
        <v>3000</v>
      </c>
    </row>
    <row r="44" spans="1:4" ht="15.75" customHeight="1" x14ac:dyDescent="0.2">
      <c r="A44" s="2">
        <v>17</v>
      </c>
      <c r="B44" s="2">
        <v>1</v>
      </c>
      <c r="C44" s="2">
        <v>2</v>
      </c>
      <c r="D44" s="2">
        <v>15000</v>
      </c>
    </row>
    <row r="45" spans="1:4" ht="15.75" customHeight="1" x14ac:dyDescent="0.2">
      <c r="A45" s="2">
        <v>18</v>
      </c>
      <c r="B45" s="2">
        <v>4</v>
      </c>
      <c r="C45" s="2">
        <v>1</v>
      </c>
      <c r="D45" s="2">
        <v>12000</v>
      </c>
    </row>
    <row r="46" spans="1:4" ht="15.75" customHeight="1" x14ac:dyDescent="0.2">
      <c r="A46" s="2">
        <v>18</v>
      </c>
      <c r="B46" s="2">
        <v>1</v>
      </c>
      <c r="C46" s="2">
        <v>2</v>
      </c>
      <c r="D46" s="2">
        <v>15000</v>
      </c>
    </row>
    <row r="47" spans="1:4" ht="15.75" customHeight="1" x14ac:dyDescent="0.2">
      <c r="A47" s="2">
        <v>18</v>
      </c>
      <c r="B47" s="2">
        <v>2</v>
      </c>
      <c r="C47" s="2">
        <v>2</v>
      </c>
      <c r="D47" s="2">
        <v>60000</v>
      </c>
    </row>
    <row r="48" spans="1:4" ht="15.75" customHeight="1" x14ac:dyDescent="0.2">
      <c r="A48" s="2">
        <v>18</v>
      </c>
      <c r="B48" s="2">
        <v>2</v>
      </c>
      <c r="C48" s="2">
        <v>2</v>
      </c>
      <c r="D48" s="2">
        <v>60000</v>
      </c>
    </row>
    <row r="49" spans="1:4" ht="15.75" customHeight="1" x14ac:dyDescent="0.2">
      <c r="A49" s="2">
        <v>19</v>
      </c>
      <c r="B49" s="2">
        <v>7</v>
      </c>
      <c r="C49" s="2">
        <v>3</v>
      </c>
      <c r="D49" s="2">
        <v>40000</v>
      </c>
    </row>
    <row r="50" spans="1:4" ht="15.75" customHeight="1" x14ac:dyDescent="0.2">
      <c r="A50" s="2">
        <v>19</v>
      </c>
      <c r="B50" s="2">
        <v>3</v>
      </c>
      <c r="C50" s="2">
        <v>1</v>
      </c>
      <c r="D50" s="2">
        <v>8000</v>
      </c>
    </row>
    <row r="51" spans="1:4" ht="12.75" x14ac:dyDescent="0.2">
      <c r="A51" s="2">
        <v>20</v>
      </c>
      <c r="B51" s="2">
        <v>1</v>
      </c>
      <c r="C51" s="2">
        <v>1</v>
      </c>
      <c r="D51" s="2">
        <v>15000</v>
      </c>
    </row>
    <row r="52" spans="1:4" ht="12.75" x14ac:dyDescent="0.2">
      <c r="A52" s="2">
        <v>20</v>
      </c>
      <c r="B52" s="2">
        <v>3</v>
      </c>
      <c r="C52" s="2">
        <v>1</v>
      </c>
      <c r="D52" s="2">
        <v>8000</v>
      </c>
    </row>
    <row r="53" spans="1:4" ht="12.75" x14ac:dyDescent="0.2">
      <c r="A53" s="2">
        <v>21</v>
      </c>
      <c r="B53" s="2">
        <v>5</v>
      </c>
      <c r="C53" s="2">
        <v>2</v>
      </c>
      <c r="D53" s="2">
        <v>5000</v>
      </c>
    </row>
    <row r="54" spans="1:4" ht="12.75" x14ac:dyDescent="0.2">
      <c r="A54" s="2">
        <v>21</v>
      </c>
      <c r="B54" s="2">
        <v>3</v>
      </c>
      <c r="C54" s="2">
        <v>1</v>
      </c>
      <c r="D54" s="2">
        <v>8000</v>
      </c>
    </row>
    <row r="55" spans="1:4" ht="12.75" x14ac:dyDescent="0.2">
      <c r="A55" s="2">
        <v>22</v>
      </c>
      <c r="B55" s="2">
        <v>6</v>
      </c>
      <c r="C55" s="2">
        <v>3</v>
      </c>
      <c r="D55" s="2">
        <v>7000</v>
      </c>
    </row>
    <row r="56" spans="1:4" ht="12.75" x14ac:dyDescent="0.2">
      <c r="A56" s="2">
        <v>22</v>
      </c>
      <c r="B56" s="2">
        <v>3</v>
      </c>
      <c r="C56" s="2">
        <v>2</v>
      </c>
      <c r="D56" s="2">
        <v>8000</v>
      </c>
    </row>
    <row r="57" spans="1:4" ht="12.75" x14ac:dyDescent="0.2">
      <c r="A57" s="2">
        <v>23</v>
      </c>
      <c r="B57" s="2">
        <v>4</v>
      </c>
      <c r="C57" s="2">
        <v>1</v>
      </c>
      <c r="D57" s="2">
        <v>12000</v>
      </c>
    </row>
    <row r="58" spans="1:4" ht="12.75" x14ac:dyDescent="0.2">
      <c r="A58" s="2">
        <v>24</v>
      </c>
      <c r="B58" s="2">
        <v>7</v>
      </c>
      <c r="C58" s="2">
        <v>1</v>
      </c>
      <c r="D58" s="2">
        <v>40000</v>
      </c>
    </row>
    <row r="59" spans="1:4" ht="12.75" x14ac:dyDescent="0.2">
      <c r="A59" s="2">
        <v>24</v>
      </c>
      <c r="B59" s="2">
        <v>1</v>
      </c>
      <c r="C59" s="2">
        <v>1</v>
      </c>
      <c r="D59" s="2">
        <v>15000</v>
      </c>
    </row>
    <row r="60" spans="1:4" ht="12.75" x14ac:dyDescent="0.2">
      <c r="A60" s="2">
        <v>24</v>
      </c>
      <c r="B60" s="2">
        <v>4</v>
      </c>
      <c r="C60" s="2">
        <v>1</v>
      </c>
      <c r="D60" s="2">
        <v>12000</v>
      </c>
    </row>
    <row r="61" spans="1:4" ht="12.75" x14ac:dyDescent="0.2">
      <c r="A61" s="2">
        <v>24</v>
      </c>
      <c r="B61" s="2">
        <v>4</v>
      </c>
      <c r="C61" s="2">
        <v>2</v>
      </c>
      <c r="D61" s="2">
        <v>12000</v>
      </c>
    </row>
    <row r="62" spans="1:4" ht="12.75" x14ac:dyDescent="0.2">
      <c r="A62" s="2">
        <v>25</v>
      </c>
      <c r="B62" s="2">
        <v>1</v>
      </c>
      <c r="C62" s="2">
        <v>2</v>
      </c>
      <c r="D62" s="2">
        <v>15000</v>
      </c>
    </row>
    <row r="63" spans="1:4" ht="12.75" x14ac:dyDescent="0.2">
      <c r="A63" s="2">
        <v>25</v>
      </c>
      <c r="B63" s="2">
        <v>6</v>
      </c>
      <c r="C63" s="2">
        <v>3</v>
      </c>
      <c r="D63" s="2">
        <v>7000</v>
      </c>
    </row>
    <row r="64" spans="1:4" ht="12.75" x14ac:dyDescent="0.2">
      <c r="A64" s="2">
        <v>26</v>
      </c>
      <c r="B64" s="2">
        <v>3</v>
      </c>
      <c r="C64" s="2">
        <v>2</v>
      </c>
      <c r="D64" s="2">
        <v>8000</v>
      </c>
    </row>
    <row r="65" spans="1:4" ht="12.75" x14ac:dyDescent="0.2">
      <c r="A65" s="2">
        <v>26</v>
      </c>
      <c r="B65" s="2">
        <v>5</v>
      </c>
      <c r="C65" s="2">
        <v>1</v>
      </c>
      <c r="D65" s="2">
        <v>5000</v>
      </c>
    </row>
    <row r="66" spans="1:4" ht="12.75" x14ac:dyDescent="0.2">
      <c r="A66" s="2">
        <v>26</v>
      </c>
      <c r="B66" s="2">
        <v>8</v>
      </c>
      <c r="C66" s="2">
        <v>1</v>
      </c>
      <c r="D66" s="2">
        <v>3000</v>
      </c>
    </row>
    <row r="67" spans="1:4" ht="12.75" x14ac:dyDescent="0.2">
      <c r="A67" s="2">
        <v>27</v>
      </c>
      <c r="B67" s="2">
        <v>4</v>
      </c>
      <c r="C67" s="2">
        <v>2</v>
      </c>
      <c r="D67" s="2">
        <v>12000</v>
      </c>
    </row>
    <row r="68" spans="1:4" ht="12.75" x14ac:dyDescent="0.2">
      <c r="A68" s="2">
        <v>27</v>
      </c>
      <c r="B68" s="2">
        <v>8</v>
      </c>
      <c r="C68" s="2">
        <v>2</v>
      </c>
      <c r="D68" s="2">
        <v>3000</v>
      </c>
    </row>
    <row r="69" spans="1:4" ht="12.75" x14ac:dyDescent="0.2">
      <c r="A69" s="2">
        <v>27</v>
      </c>
      <c r="B69" s="2">
        <v>4</v>
      </c>
      <c r="C69" s="2">
        <v>3</v>
      </c>
      <c r="D69" s="2">
        <v>12000</v>
      </c>
    </row>
    <row r="70" spans="1:4" ht="12.75" x14ac:dyDescent="0.2">
      <c r="A70" s="2">
        <v>28</v>
      </c>
      <c r="B70" s="2">
        <v>8</v>
      </c>
      <c r="C70" s="2">
        <v>3</v>
      </c>
      <c r="D70" s="2">
        <v>3000</v>
      </c>
    </row>
    <row r="71" spans="1:4" ht="12.75" x14ac:dyDescent="0.2">
      <c r="A71" s="2">
        <v>29</v>
      </c>
      <c r="B71" s="2">
        <v>5</v>
      </c>
      <c r="C71" s="2">
        <v>3</v>
      </c>
      <c r="D71" s="2">
        <v>5000</v>
      </c>
    </row>
    <row r="72" spans="1:4" ht="12.75" x14ac:dyDescent="0.2">
      <c r="A72" s="2">
        <v>30</v>
      </c>
      <c r="B72" s="2">
        <v>4</v>
      </c>
      <c r="C72" s="2">
        <v>1</v>
      </c>
      <c r="D72" s="2">
        <v>12000</v>
      </c>
    </row>
    <row r="73" spans="1:4" ht="12.75" x14ac:dyDescent="0.2">
      <c r="A73" s="2">
        <v>31</v>
      </c>
      <c r="B73" s="2">
        <v>3</v>
      </c>
      <c r="C73" s="2">
        <v>2</v>
      </c>
      <c r="D73" s="2">
        <v>8000</v>
      </c>
    </row>
    <row r="74" spans="1:4" ht="12.75" x14ac:dyDescent="0.2">
      <c r="A74" s="2">
        <v>31</v>
      </c>
      <c r="B74" s="2">
        <v>4</v>
      </c>
      <c r="C74" s="2">
        <v>2</v>
      </c>
      <c r="D74" s="2">
        <v>12000</v>
      </c>
    </row>
    <row r="75" spans="1:4" ht="12.75" x14ac:dyDescent="0.2">
      <c r="A75" s="2">
        <v>31</v>
      </c>
      <c r="B75" s="2">
        <v>1</v>
      </c>
      <c r="C75" s="2">
        <v>3</v>
      </c>
      <c r="D75" s="2">
        <v>15000</v>
      </c>
    </row>
    <row r="76" spans="1:4" ht="12.75" x14ac:dyDescent="0.2">
      <c r="A76" s="2">
        <v>32</v>
      </c>
      <c r="B76" s="2">
        <v>7</v>
      </c>
      <c r="C76" s="2">
        <v>1</v>
      </c>
      <c r="D76" s="2">
        <v>40000</v>
      </c>
    </row>
    <row r="77" spans="1:4" ht="12.75" x14ac:dyDescent="0.2">
      <c r="A77" s="2">
        <v>32</v>
      </c>
      <c r="B77" s="2">
        <v>1</v>
      </c>
      <c r="C77" s="2">
        <v>1</v>
      </c>
      <c r="D77" s="2">
        <v>15000</v>
      </c>
    </row>
    <row r="78" spans="1:4" ht="12.75" x14ac:dyDescent="0.2">
      <c r="A78" s="2">
        <v>32</v>
      </c>
      <c r="B78" s="2">
        <v>7</v>
      </c>
      <c r="C78" s="2">
        <v>2</v>
      </c>
      <c r="D78" s="2">
        <v>40000</v>
      </c>
    </row>
    <row r="79" spans="1:4" ht="12.75" x14ac:dyDescent="0.2">
      <c r="A79" s="2">
        <v>33</v>
      </c>
      <c r="B79" s="2">
        <v>4</v>
      </c>
      <c r="C79" s="2">
        <v>1</v>
      </c>
      <c r="D79" s="2">
        <v>12000</v>
      </c>
    </row>
    <row r="80" spans="1:4" ht="12.75" x14ac:dyDescent="0.2">
      <c r="A80" s="2">
        <v>34</v>
      </c>
      <c r="B80" s="2">
        <v>7</v>
      </c>
      <c r="C80" s="2">
        <v>1</v>
      </c>
      <c r="D80" s="2">
        <v>40000</v>
      </c>
    </row>
    <row r="81" spans="1:4" ht="12.75" x14ac:dyDescent="0.2">
      <c r="A81" s="2">
        <v>35</v>
      </c>
      <c r="B81" s="2">
        <v>5</v>
      </c>
      <c r="C81" s="2">
        <v>1</v>
      </c>
      <c r="D81" s="2">
        <v>5000</v>
      </c>
    </row>
    <row r="82" spans="1:4" ht="12.75" x14ac:dyDescent="0.2">
      <c r="A82" s="2">
        <v>36</v>
      </c>
      <c r="B82" s="2">
        <v>3</v>
      </c>
      <c r="C82" s="2">
        <v>1</v>
      </c>
      <c r="D82" s="2">
        <v>8000</v>
      </c>
    </row>
    <row r="83" spans="1:4" ht="12.75" x14ac:dyDescent="0.2">
      <c r="A83" s="2">
        <v>36</v>
      </c>
      <c r="B83" s="2">
        <v>6</v>
      </c>
      <c r="C83" s="2">
        <v>1</v>
      </c>
      <c r="D83" s="2">
        <v>7000</v>
      </c>
    </row>
    <row r="84" spans="1:4" ht="12.75" x14ac:dyDescent="0.2">
      <c r="A84" s="2">
        <v>37</v>
      </c>
      <c r="B84" s="2">
        <v>7</v>
      </c>
      <c r="C84" s="2">
        <v>2</v>
      </c>
      <c r="D84" s="2">
        <v>40000</v>
      </c>
    </row>
    <row r="85" spans="1:4" ht="12.75" x14ac:dyDescent="0.2">
      <c r="A85" s="2">
        <v>37</v>
      </c>
      <c r="B85" s="2">
        <v>2</v>
      </c>
      <c r="C85" s="2">
        <v>3</v>
      </c>
      <c r="D85" s="2">
        <v>60000</v>
      </c>
    </row>
    <row r="86" spans="1:4" ht="12.75" x14ac:dyDescent="0.2">
      <c r="A86" s="2">
        <v>38</v>
      </c>
      <c r="B86" s="2">
        <v>2</v>
      </c>
      <c r="C86" s="2">
        <v>3</v>
      </c>
      <c r="D86" s="2">
        <v>60000</v>
      </c>
    </row>
    <row r="87" spans="1:4" ht="12.75" x14ac:dyDescent="0.2">
      <c r="A87" s="2">
        <v>38</v>
      </c>
      <c r="B87" s="2">
        <v>4</v>
      </c>
      <c r="C87" s="2">
        <v>2</v>
      </c>
      <c r="D87" s="2">
        <v>12000</v>
      </c>
    </row>
    <row r="88" spans="1:4" ht="12.75" x14ac:dyDescent="0.2">
      <c r="A88" s="2">
        <v>38</v>
      </c>
      <c r="B88" s="2">
        <v>2</v>
      </c>
      <c r="C88" s="2">
        <v>2</v>
      </c>
      <c r="D88" s="2">
        <v>60000</v>
      </c>
    </row>
    <row r="89" spans="1:4" ht="12.75" x14ac:dyDescent="0.2">
      <c r="A89" s="2">
        <v>39</v>
      </c>
      <c r="B89" s="2">
        <v>5</v>
      </c>
      <c r="C89" s="2">
        <v>2</v>
      </c>
      <c r="D89" s="2">
        <v>5000</v>
      </c>
    </row>
    <row r="90" spans="1:4" ht="12.75" x14ac:dyDescent="0.2">
      <c r="A90" s="2">
        <v>39</v>
      </c>
      <c r="B90" s="2">
        <v>7</v>
      </c>
      <c r="C90" s="2">
        <v>1</v>
      </c>
      <c r="D90" s="2">
        <v>40000</v>
      </c>
    </row>
    <row r="91" spans="1:4" ht="12.75" x14ac:dyDescent="0.2">
      <c r="A91" s="2">
        <v>40</v>
      </c>
      <c r="B91" s="2">
        <v>7</v>
      </c>
      <c r="C91" s="2">
        <v>1</v>
      </c>
      <c r="D91" s="2">
        <v>40000</v>
      </c>
    </row>
    <row r="92" spans="1:4" ht="12.75" x14ac:dyDescent="0.2">
      <c r="A92" s="2">
        <v>40</v>
      </c>
      <c r="B92" s="2">
        <v>3</v>
      </c>
      <c r="C92" s="2">
        <v>1</v>
      </c>
      <c r="D92" s="2">
        <v>8000</v>
      </c>
    </row>
    <row r="93" spans="1:4" ht="12.75" x14ac:dyDescent="0.2">
      <c r="A93" s="2">
        <v>41</v>
      </c>
      <c r="B93" s="2">
        <v>4</v>
      </c>
      <c r="C93" s="2">
        <v>2</v>
      </c>
      <c r="D93" s="2">
        <v>12000</v>
      </c>
    </row>
    <row r="94" spans="1:4" ht="12.75" x14ac:dyDescent="0.2">
      <c r="A94" s="2">
        <v>41</v>
      </c>
      <c r="B94" s="2">
        <v>1</v>
      </c>
      <c r="C94" s="2">
        <v>1</v>
      </c>
      <c r="D94" s="2">
        <v>15000</v>
      </c>
    </row>
    <row r="95" spans="1:4" ht="12.75" x14ac:dyDescent="0.2">
      <c r="A95" s="2">
        <v>42</v>
      </c>
      <c r="B95" s="2">
        <v>1</v>
      </c>
      <c r="C95" s="2">
        <v>1</v>
      </c>
      <c r="D95" s="2">
        <v>15000</v>
      </c>
    </row>
    <row r="96" spans="1:4" ht="12.75" x14ac:dyDescent="0.2">
      <c r="A96" s="2">
        <v>42</v>
      </c>
      <c r="B96" s="2">
        <v>8</v>
      </c>
      <c r="C96" s="2">
        <v>1</v>
      </c>
      <c r="D96" s="2">
        <v>3000</v>
      </c>
    </row>
    <row r="97" spans="1:4" ht="12.75" x14ac:dyDescent="0.2">
      <c r="A97" s="2">
        <v>42</v>
      </c>
      <c r="B97" s="2">
        <v>1</v>
      </c>
      <c r="C97" s="2">
        <v>1</v>
      </c>
      <c r="D97" s="2">
        <v>15000</v>
      </c>
    </row>
    <row r="98" spans="1:4" ht="12.75" x14ac:dyDescent="0.2">
      <c r="A98" s="2">
        <v>43</v>
      </c>
      <c r="B98" s="2">
        <v>1</v>
      </c>
      <c r="C98" s="2">
        <v>1</v>
      </c>
      <c r="D98" s="2">
        <v>15000</v>
      </c>
    </row>
    <row r="99" spans="1:4" ht="12.75" x14ac:dyDescent="0.2">
      <c r="A99" s="2">
        <v>43</v>
      </c>
      <c r="B99" s="2">
        <v>4</v>
      </c>
      <c r="C99" s="2">
        <v>3</v>
      </c>
      <c r="D99" s="2">
        <v>12000</v>
      </c>
    </row>
    <row r="100" spans="1:4" ht="12.75" x14ac:dyDescent="0.2">
      <c r="A100" s="2">
        <v>44</v>
      </c>
      <c r="B100" s="2">
        <v>3</v>
      </c>
      <c r="C100" s="2">
        <v>3</v>
      </c>
      <c r="D100" s="2">
        <v>8000</v>
      </c>
    </row>
    <row r="101" spans="1:4" ht="12.75" x14ac:dyDescent="0.2">
      <c r="A101" s="2">
        <v>44</v>
      </c>
      <c r="B101" s="2">
        <v>4</v>
      </c>
      <c r="C101" s="2">
        <v>2</v>
      </c>
      <c r="D101" s="2">
        <v>12000</v>
      </c>
    </row>
    <row r="102" spans="1:4" ht="12.75" x14ac:dyDescent="0.2">
      <c r="A102" s="2">
        <v>44</v>
      </c>
      <c r="B102" s="2">
        <v>1</v>
      </c>
      <c r="C102" s="2">
        <v>3</v>
      </c>
      <c r="D102" s="2">
        <v>15000</v>
      </c>
    </row>
    <row r="103" spans="1:4" ht="12.75" x14ac:dyDescent="0.2">
      <c r="A103" s="2">
        <v>44</v>
      </c>
      <c r="B103" s="2">
        <v>7</v>
      </c>
      <c r="C103" s="2">
        <v>3</v>
      </c>
      <c r="D103" s="2">
        <v>40000</v>
      </c>
    </row>
    <row r="104" spans="1:4" ht="12.75" x14ac:dyDescent="0.2">
      <c r="A104" s="2">
        <v>45</v>
      </c>
      <c r="B104" s="2">
        <v>1</v>
      </c>
      <c r="C104" s="2">
        <v>3</v>
      </c>
      <c r="D104" s="2">
        <v>15000</v>
      </c>
    </row>
    <row r="105" spans="1:4" ht="12.75" x14ac:dyDescent="0.2">
      <c r="A105" s="2">
        <v>46</v>
      </c>
      <c r="B105" s="2">
        <v>1</v>
      </c>
      <c r="C105" s="2">
        <v>3</v>
      </c>
      <c r="D105" s="2">
        <v>15000</v>
      </c>
    </row>
    <row r="106" spans="1:4" ht="12.75" x14ac:dyDescent="0.2">
      <c r="A106" s="2">
        <v>46</v>
      </c>
      <c r="B106" s="2">
        <v>3</v>
      </c>
      <c r="C106" s="2">
        <v>3</v>
      </c>
      <c r="D106" s="2">
        <v>8000</v>
      </c>
    </row>
    <row r="107" spans="1:4" ht="12.75" x14ac:dyDescent="0.2">
      <c r="A107" s="2">
        <v>47</v>
      </c>
      <c r="B107" s="2">
        <v>6</v>
      </c>
      <c r="C107" s="2">
        <v>1</v>
      </c>
      <c r="D107" s="2">
        <v>7000</v>
      </c>
    </row>
    <row r="108" spans="1:4" ht="12.75" x14ac:dyDescent="0.2">
      <c r="A108" s="2">
        <v>48</v>
      </c>
      <c r="B108" s="2">
        <v>8</v>
      </c>
      <c r="C108" s="2">
        <v>2</v>
      </c>
      <c r="D108" s="2">
        <v>3000</v>
      </c>
    </row>
    <row r="109" spans="1:4" ht="12.75" x14ac:dyDescent="0.2">
      <c r="A109" s="2">
        <v>48</v>
      </c>
      <c r="B109" s="2">
        <v>5</v>
      </c>
      <c r="C109" s="2">
        <v>3</v>
      </c>
      <c r="D109" s="2">
        <v>5000</v>
      </c>
    </row>
    <row r="110" spans="1:4" ht="12.75" x14ac:dyDescent="0.2">
      <c r="A110" s="2">
        <v>48</v>
      </c>
      <c r="B110" s="2">
        <v>7</v>
      </c>
      <c r="C110" s="2">
        <v>3</v>
      </c>
      <c r="D110" s="2">
        <v>40000</v>
      </c>
    </row>
    <row r="111" spans="1:4" ht="12.75" x14ac:dyDescent="0.2">
      <c r="A111" s="2">
        <v>48</v>
      </c>
      <c r="B111" s="2">
        <v>1</v>
      </c>
      <c r="C111" s="2">
        <v>3</v>
      </c>
      <c r="D111" s="2">
        <v>15000</v>
      </c>
    </row>
    <row r="112" spans="1:4" ht="12.75" x14ac:dyDescent="0.2">
      <c r="A112" s="2">
        <v>49</v>
      </c>
      <c r="B112" s="2">
        <v>3</v>
      </c>
      <c r="C112" s="2">
        <v>1</v>
      </c>
      <c r="D112" s="2">
        <v>8000</v>
      </c>
    </row>
    <row r="113" spans="1:4" ht="12.75" x14ac:dyDescent="0.2">
      <c r="A113" s="2">
        <v>49</v>
      </c>
      <c r="B113" s="2">
        <v>8</v>
      </c>
      <c r="C113" s="2">
        <v>2</v>
      </c>
      <c r="D113" s="2">
        <v>3000</v>
      </c>
    </row>
    <row r="114" spans="1:4" ht="12.75" x14ac:dyDescent="0.2">
      <c r="A114" s="2">
        <v>49</v>
      </c>
      <c r="B114" s="2">
        <v>7</v>
      </c>
      <c r="C114" s="2">
        <v>1</v>
      </c>
      <c r="D114" s="2">
        <v>40000</v>
      </c>
    </row>
    <row r="115" spans="1:4" ht="12.75" x14ac:dyDescent="0.2">
      <c r="A115" s="2">
        <v>50</v>
      </c>
      <c r="B115" s="2">
        <v>2</v>
      </c>
      <c r="C115" s="2">
        <v>1</v>
      </c>
      <c r="D115" s="2">
        <v>60000</v>
      </c>
    </row>
    <row r="116" spans="1:4" ht="12.75" x14ac:dyDescent="0.2">
      <c r="A116" s="2">
        <v>50</v>
      </c>
      <c r="B116" s="2">
        <v>8</v>
      </c>
      <c r="C116" s="2">
        <v>1</v>
      </c>
      <c r="D116" s="2">
        <v>3000</v>
      </c>
    </row>
    <row r="117" spans="1:4" ht="12.75" x14ac:dyDescent="0.2">
      <c r="A117" s="2">
        <v>51</v>
      </c>
      <c r="B117" s="2">
        <v>3</v>
      </c>
      <c r="C117" s="2">
        <v>2</v>
      </c>
      <c r="D117" s="2">
        <v>8000</v>
      </c>
    </row>
    <row r="118" spans="1:4" ht="12.75" x14ac:dyDescent="0.2">
      <c r="A118" s="2">
        <v>51</v>
      </c>
      <c r="B118" s="2">
        <v>7</v>
      </c>
      <c r="C118" s="2">
        <v>2</v>
      </c>
      <c r="D118" s="2">
        <v>40000</v>
      </c>
    </row>
    <row r="119" spans="1:4" ht="12.75" x14ac:dyDescent="0.2">
      <c r="A119" s="2">
        <v>51</v>
      </c>
      <c r="B119" s="2">
        <v>7</v>
      </c>
      <c r="C119" s="2">
        <v>2</v>
      </c>
      <c r="D119" s="2">
        <v>40000</v>
      </c>
    </row>
    <row r="120" spans="1:4" ht="12.75" x14ac:dyDescent="0.2">
      <c r="A120" s="2">
        <v>52</v>
      </c>
      <c r="B120" s="2">
        <v>5</v>
      </c>
      <c r="C120" s="2">
        <v>2</v>
      </c>
      <c r="D120" s="2">
        <v>5000</v>
      </c>
    </row>
    <row r="121" spans="1:4" ht="12.75" x14ac:dyDescent="0.2">
      <c r="A121" s="2">
        <v>52</v>
      </c>
      <c r="B121" s="2">
        <v>8</v>
      </c>
      <c r="C121" s="2">
        <v>3</v>
      </c>
      <c r="D121" s="2">
        <v>3000</v>
      </c>
    </row>
    <row r="122" spans="1:4" ht="12.75" x14ac:dyDescent="0.2">
      <c r="A122" s="2">
        <v>52</v>
      </c>
      <c r="B122" s="2">
        <v>2</v>
      </c>
      <c r="C122" s="2">
        <v>3</v>
      </c>
      <c r="D122" s="2">
        <v>60000</v>
      </c>
    </row>
    <row r="123" spans="1:4" ht="12.75" x14ac:dyDescent="0.2">
      <c r="A123" s="2">
        <v>53</v>
      </c>
      <c r="B123" s="2">
        <v>7</v>
      </c>
      <c r="C123" s="2">
        <v>2</v>
      </c>
      <c r="D123" s="2">
        <v>40000</v>
      </c>
    </row>
    <row r="124" spans="1:4" ht="12.75" x14ac:dyDescent="0.2">
      <c r="A124" s="2">
        <v>53</v>
      </c>
      <c r="B124" s="2">
        <v>6</v>
      </c>
      <c r="C124" s="2">
        <v>1</v>
      </c>
      <c r="D124" s="2">
        <v>7000</v>
      </c>
    </row>
    <row r="125" spans="1:4" ht="12.75" x14ac:dyDescent="0.2">
      <c r="A125" s="2">
        <v>53</v>
      </c>
      <c r="B125" s="2">
        <v>2</v>
      </c>
      <c r="C125" s="2">
        <v>1</v>
      </c>
      <c r="D125" s="2">
        <v>60000</v>
      </c>
    </row>
    <row r="126" spans="1:4" ht="12.75" x14ac:dyDescent="0.2">
      <c r="A126" s="2">
        <v>54</v>
      </c>
      <c r="B126" s="2">
        <v>4</v>
      </c>
      <c r="C126" s="2">
        <v>3</v>
      </c>
      <c r="D126" s="2">
        <v>12000</v>
      </c>
    </row>
    <row r="127" spans="1:4" ht="12.75" x14ac:dyDescent="0.2">
      <c r="A127" s="2">
        <v>54</v>
      </c>
      <c r="B127" s="2">
        <v>6</v>
      </c>
      <c r="C127" s="2">
        <v>3</v>
      </c>
      <c r="D127" s="2">
        <v>7000</v>
      </c>
    </row>
    <row r="128" spans="1:4" ht="12.75" x14ac:dyDescent="0.2">
      <c r="A128" s="2">
        <v>54</v>
      </c>
      <c r="B128" s="2">
        <v>6</v>
      </c>
      <c r="C128" s="2">
        <v>3</v>
      </c>
      <c r="D128" s="2">
        <v>7000</v>
      </c>
    </row>
    <row r="129" spans="1:4" ht="12.75" x14ac:dyDescent="0.2">
      <c r="A129" s="2">
        <v>54</v>
      </c>
      <c r="B129" s="2">
        <v>2</v>
      </c>
      <c r="C129" s="2">
        <v>2</v>
      </c>
      <c r="D129" s="2">
        <v>60000</v>
      </c>
    </row>
    <row r="130" spans="1:4" ht="12.75" x14ac:dyDescent="0.2">
      <c r="A130" s="2">
        <v>55</v>
      </c>
      <c r="B130" s="2">
        <v>3</v>
      </c>
      <c r="C130" s="2">
        <v>2</v>
      </c>
      <c r="D130" s="2">
        <v>8000</v>
      </c>
    </row>
    <row r="131" spans="1:4" ht="12.75" x14ac:dyDescent="0.2">
      <c r="A131" s="2">
        <v>56</v>
      </c>
      <c r="B131" s="2">
        <v>5</v>
      </c>
      <c r="C131" s="2">
        <v>3</v>
      </c>
      <c r="D131" s="2">
        <v>5000</v>
      </c>
    </row>
    <row r="132" spans="1:4" ht="12.75" x14ac:dyDescent="0.2">
      <c r="A132" s="2">
        <v>56</v>
      </c>
      <c r="B132" s="2">
        <v>8</v>
      </c>
      <c r="C132" s="2">
        <v>3</v>
      </c>
      <c r="D132" s="2">
        <v>3000</v>
      </c>
    </row>
    <row r="133" spans="1:4" ht="12.75" x14ac:dyDescent="0.2">
      <c r="A133" s="2">
        <v>56</v>
      </c>
      <c r="B133" s="2">
        <v>5</v>
      </c>
      <c r="C133" s="2">
        <v>1</v>
      </c>
      <c r="D133" s="2">
        <v>5000</v>
      </c>
    </row>
    <row r="134" spans="1:4" ht="12.75" x14ac:dyDescent="0.2">
      <c r="A134" s="2">
        <v>56</v>
      </c>
      <c r="B134" s="2">
        <v>1</v>
      </c>
      <c r="C134" s="2">
        <v>3</v>
      </c>
      <c r="D134" s="2">
        <v>15000</v>
      </c>
    </row>
    <row r="135" spans="1:4" ht="12.75" x14ac:dyDescent="0.2">
      <c r="A135" s="2">
        <v>57</v>
      </c>
      <c r="B135" s="2">
        <v>3</v>
      </c>
      <c r="C135" s="2">
        <v>3</v>
      </c>
      <c r="D135" s="2">
        <v>8000</v>
      </c>
    </row>
    <row r="136" spans="1:4" ht="12.75" x14ac:dyDescent="0.2">
      <c r="A136" s="2">
        <v>57</v>
      </c>
      <c r="B136" s="2">
        <v>7</v>
      </c>
      <c r="C136" s="2">
        <v>3</v>
      </c>
      <c r="D136" s="2">
        <v>40000</v>
      </c>
    </row>
    <row r="137" spans="1:4" ht="12.75" x14ac:dyDescent="0.2">
      <c r="A137" s="2">
        <v>57</v>
      </c>
      <c r="B137" s="2">
        <v>7</v>
      </c>
      <c r="C137" s="2">
        <v>2</v>
      </c>
      <c r="D137" s="2">
        <v>40000</v>
      </c>
    </row>
    <row r="138" spans="1:4" ht="12.75" x14ac:dyDescent="0.2">
      <c r="A138" s="2">
        <v>58</v>
      </c>
      <c r="B138" s="2">
        <v>7</v>
      </c>
      <c r="C138" s="2">
        <v>1</v>
      </c>
      <c r="D138" s="2">
        <v>40000</v>
      </c>
    </row>
    <row r="139" spans="1:4" ht="12.75" x14ac:dyDescent="0.2">
      <c r="A139" s="2">
        <v>58</v>
      </c>
      <c r="B139" s="2">
        <v>6</v>
      </c>
      <c r="C139" s="2">
        <v>2</v>
      </c>
      <c r="D139" s="2">
        <v>7000</v>
      </c>
    </row>
    <row r="140" spans="1:4" ht="12.75" x14ac:dyDescent="0.2">
      <c r="A140" s="2">
        <v>58</v>
      </c>
      <c r="B140" s="2">
        <v>2</v>
      </c>
      <c r="C140" s="2">
        <v>1</v>
      </c>
      <c r="D140" s="2">
        <v>60000</v>
      </c>
    </row>
    <row r="141" spans="1:4" ht="12.75" x14ac:dyDescent="0.2">
      <c r="A141" s="2">
        <v>59</v>
      </c>
      <c r="B141" s="2">
        <v>6</v>
      </c>
      <c r="C141" s="2">
        <v>1</v>
      </c>
      <c r="D141" s="2">
        <v>7000</v>
      </c>
    </row>
    <row r="142" spans="1:4" ht="12.75" x14ac:dyDescent="0.2">
      <c r="A142" s="2">
        <v>59</v>
      </c>
      <c r="B142" s="2">
        <v>7</v>
      </c>
      <c r="C142" s="2">
        <v>3</v>
      </c>
      <c r="D142" s="2">
        <v>40000</v>
      </c>
    </row>
    <row r="143" spans="1:4" ht="12.75" x14ac:dyDescent="0.2">
      <c r="A143" s="2">
        <v>59</v>
      </c>
      <c r="B143" s="2">
        <v>2</v>
      </c>
      <c r="C143" s="2">
        <v>1</v>
      </c>
      <c r="D143" s="2">
        <v>60000</v>
      </c>
    </row>
    <row r="144" spans="1:4" ht="12.75" x14ac:dyDescent="0.2">
      <c r="A144" s="2">
        <v>60</v>
      </c>
      <c r="B144" s="2">
        <v>2</v>
      </c>
      <c r="C144" s="2">
        <v>2</v>
      </c>
      <c r="D144" s="2">
        <v>60000</v>
      </c>
    </row>
    <row r="145" spans="1:4" ht="12.75" x14ac:dyDescent="0.2">
      <c r="A145" s="2">
        <v>60</v>
      </c>
      <c r="B145" s="2">
        <v>4</v>
      </c>
      <c r="C145" s="2">
        <v>1</v>
      </c>
      <c r="D145" s="2">
        <v>12000</v>
      </c>
    </row>
    <row r="146" spans="1:4" ht="12.75" x14ac:dyDescent="0.2">
      <c r="A146" s="2">
        <v>60</v>
      </c>
      <c r="B146" s="2">
        <v>1</v>
      </c>
      <c r="C146" s="2">
        <v>3</v>
      </c>
      <c r="D146" s="2">
        <v>15000</v>
      </c>
    </row>
    <row r="147" spans="1:4" ht="12.75" x14ac:dyDescent="0.2">
      <c r="A147" s="2">
        <v>61</v>
      </c>
      <c r="B147" s="2">
        <v>8</v>
      </c>
      <c r="C147" s="2">
        <v>1</v>
      </c>
      <c r="D147" s="2">
        <v>3000</v>
      </c>
    </row>
    <row r="148" spans="1:4" ht="12.75" x14ac:dyDescent="0.2">
      <c r="A148" s="2">
        <v>62</v>
      </c>
      <c r="B148" s="2">
        <v>8</v>
      </c>
      <c r="C148" s="2">
        <v>2</v>
      </c>
      <c r="D148" s="2">
        <v>3000</v>
      </c>
    </row>
    <row r="149" spans="1:4" ht="12.75" x14ac:dyDescent="0.2">
      <c r="A149" s="2">
        <v>62</v>
      </c>
      <c r="B149" s="2">
        <v>8</v>
      </c>
      <c r="C149" s="2">
        <v>2</v>
      </c>
      <c r="D149" s="2">
        <v>3000</v>
      </c>
    </row>
    <row r="150" spans="1:4" ht="12.75" x14ac:dyDescent="0.2">
      <c r="A150" s="2">
        <v>62</v>
      </c>
      <c r="B150" s="2">
        <v>7</v>
      </c>
      <c r="C150" s="2">
        <v>2</v>
      </c>
      <c r="D150" s="2">
        <v>40000</v>
      </c>
    </row>
    <row r="151" spans="1:4" ht="12.75" x14ac:dyDescent="0.2">
      <c r="A151" s="2">
        <v>62</v>
      </c>
      <c r="B151" s="2">
        <v>2</v>
      </c>
      <c r="C151" s="2">
        <v>3</v>
      </c>
      <c r="D151" s="2">
        <v>60000</v>
      </c>
    </row>
    <row r="152" spans="1:4" ht="12.75" x14ac:dyDescent="0.2">
      <c r="A152" s="2">
        <v>63</v>
      </c>
      <c r="B152" s="2">
        <v>4</v>
      </c>
      <c r="C152" s="2">
        <v>3</v>
      </c>
      <c r="D152" s="2">
        <v>12000</v>
      </c>
    </row>
    <row r="153" spans="1:4" ht="12.75" x14ac:dyDescent="0.2">
      <c r="A153" s="2">
        <v>63</v>
      </c>
      <c r="B153" s="2">
        <v>6</v>
      </c>
      <c r="C153" s="2">
        <v>2</v>
      </c>
      <c r="D153" s="2">
        <v>7000</v>
      </c>
    </row>
    <row r="154" spans="1:4" ht="12.75" x14ac:dyDescent="0.2">
      <c r="A154" s="2">
        <v>63</v>
      </c>
      <c r="B154" s="2">
        <v>4</v>
      </c>
      <c r="C154" s="2">
        <v>2</v>
      </c>
      <c r="D154" s="2">
        <v>12000</v>
      </c>
    </row>
    <row r="155" spans="1:4" ht="12.75" x14ac:dyDescent="0.2">
      <c r="A155" s="2">
        <v>64</v>
      </c>
      <c r="B155" s="2">
        <v>6</v>
      </c>
      <c r="C155" s="2">
        <v>3</v>
      </c>
      <c r="D155" s="2">
        <v>7000</v>
      </c>
    </row>
    <row r="156" spans="1:4" ht="12.75" x14ac:dyDescent="0.2">
      <c r="A156" s="2">
        <v>64</v>
      </c>
      <c r="B156" s="2">
        <v>7</v>
      </c>
      <c r="C156" s="2">
        <v>2</v>
      </c>
      <c r="D156" s="2">
        <v>40000</v>
      </c>
    </row>
    <row r="157" spans="1:4" ht="12.75" x14ac:dyDescent="0.2">
      <c r="A157" s="2">
        <v>64</v>
      </c>
      <c r="B157" s="2">
        <v>3</v>
      </c>
      <c r="C157" s="2">
        <v>1</v>
      </c>
      <c r="D157" s="2">
        <v>8000</v>
      </c>
    </row>
    <row r="158" spans="1:4" ht="12.75" x14ac:dyDescent="0.2">
      <c r="A158" s="2">
        <v>65</v>
      </c>
      <c r="B158" s="2">
        <v>3</v>
      </c>
      <c r="C158" s="2">
        <v>2</v>
      </c>
      <c r="D158" s="2">
        <v>8000</v>
      </c>
    </row>
    <row r="159" spans="1:4" ht="12.75" x14ac:dyDescent="0.2">
      <c r="A159" s="2">
        <v>65</v>
      </c>
      <c r="B159" s="2">
        <v>7</v>
      </c>
      <c r="C159" s="2">
        <v>1</v>
      </c>
      <c r="D159" s="2">
        <v>40000</v>
      </c>
    </row>
    <row r="160" spans="1:4" ht="12.75" x14ac:dyDescent="0.2">
      <c r="A160" s="2">
        <v>65</v>
      </c>
      <c r="B160" s="2">
        <v>6</v>
      </c>
      <c r="C160" s="2">
        <v>3</v>
      </c>
      <c r="D160" s="2">
        <v>7000</v>
      </c>
    </row>
    <row r="161" spans="1:4" ht="12.75" x14ac:dyDescent="0.2">
      <c r="A161" s="2">
        <v>65</v>
      </c>
      <c r="B161" s="2">
        <v>4</v>
      </c>
      <c r="C161" s="2">
        <v>2</v>
      </c>
      <c r="D161" s="2">
        <v>12000</v>
      </c>
    </row>
    <row r="162" spans="1:4" ht="12.75" x14ac:dyDescent="0.2">
      <c r="A162" s="2">
        <v>66</v>
      </c>
      <c r="B162" s="2">
        <v>1</v>
      </c>
      <c r="C162" s="2">
        <v>1</v>
      </c>
      <c r="D162" s="2">
        <v>15000</v>
      </c>
    </row>
    <row r="163" spans="1:4" ht="12.75" x14ac:dyDescent="0.2">
      <c r="A163" s="2">
        <v>66</v>
      </c>
      <c r="B163" s="2">
        <v>2</v>
      </c>
      <c r="C163" s="2">
        <v>3</v>
      </c>
      <c r="D163" s="2">
        <v>60000</v>
      </c>
    </row>
    <row r="164" spans="1:4" ht="12.75" x14ac:dyDescent="0.2">
      <c r="A164" s="2">
        <v>66</v>
      </c>
      <c r="B164" s="2">
        <v>7</v>
      </c>
      <c r="C164" s="2">
        <v>1</v>
      </c>
      <c r="D164" s="2">
        <v>40000</v>
      </c>
    </row>
    <row r="165" spans="1:4" ht="12.75" x14ac:dyDescent="0.2">
      <c r="A165" s="2">
        <v>67</v>
      </c>
      <c r="B165" s="2">
        <v>8</v>
      </c>
      <c r="C165" s="2">
        <v>3</v>
      </c>
      <c r="D165" s="2">
        <v>3000</v>
      </c>
    </row>
    <row r="166" spans="1:4" ht="12.75" x14ac:dyDescent="0.2">
      <c r="A166" s="2">
        <v>67</v>
      </c>
      <c r="B166" s="2">
        <v>5</v>
      </c>
      <c r="C166" s="2">
        <v>3</v>
      </c>
      <c r="D166" s="2">
        <v>5000</v>
      </c>
    </row>
    <row r="167" spans="1:4" ht="12.75" x14ac:dyDescent="0.2">
      <c r="A167" s="2">
        <v>68</v>
      </c>
      <c r="B167" s="2">
        <v>2</v>
      </c>
      <c r="C167" s="2">
        <v>2</v>
      </c>
      <c r="D167" s="2">
        <v>60000</v>
      </c>
    </row>
    <row r="168" spans="1:4" ht="12.75" x14ac:dyDescent="0.2">
      <c r="A168" s="2">
        <v>68</v>
      </c>
      <c r="B168" s="2">
        <v>3</v>
      </c>
      <c r="C168" s="2">
        <v>2</v>
      </c>
      <c r="D168" s="2">
        <v>8000</v>
      </c>
    </row>
    <row r="169" spans="1:4" ht="12.75" x14ac:dyDescent="0.2">
      <c r="A169" s="2">
        <v>68</v>
      </c>
      <c r="B169" s="2">
        <v>8</v>
      </c>
      <c r="C169" s="2">
        <v>3</v>
      </c>
      <c r="D169" s="2">
        <v>3000</v>
      </c>
    </row>
    <row r="170" spans="1:4" ht="12.75" x14ac:dyDescent="0.2">
      <c r="A170" s="2">
        <v>69</v>
      </c>
      <c r="B170" s="2">
        <v>5</v>
      </c>
      <c r="C170" s="2">
        <v>3</v>
      </c>
      <c r="D170" s="2">
        <v>5000</v>
      </c>
    </row>
    <row r="171" spans="1:4" ht="12.75" x14ac:dyDescent="0.2">
      <c r="A171" s="2">
        <v>69</v>
      </c>
      <c r="B171" s="2">
        <v>2</v>
      </c>
      <c r="C171" s="2">
        <v>1</v>
      </c>
      <c r="D171" s="2">
        <v>60000</v>
      </c>
    </row>
    <row r="172" spans="1:4" ht="12.75" x14ac:dyDescent="0.2">
      <c r="A172" s="2">
        <v>70</v>
      </c>
      <c r="B172" s="2">
        <v>6</v>
      </c>
      <c r="C172" s="2">
        <v>3</v>
      </c>
      <c r="D172" s="2">
        <v>7000</v>
      </c>
    </row>
    <row r="173" spans="1:4" ht="12.75" x14ac:dyDescent="0.2">
      <c r="A173" s="2">
        <v>70</v>
      </c>
      <c r="B173" s="2">
        <v>6</v>
      </c>
      <c r="C173" s="2">
        <v>1</v>
      </c>
      <c r="D173" s="2">
        <v>7000</v>
      </c>
    </row>
    <row r="174" spans="1:4" ht="12.75" x14ac:dyDescent="0.2">
      <c r="A174" s="2">
        <v>70</v>
      </c>
      <c r="B174" s="2">
        <v>1</v>
      </c>
      <c r="C174" s="2">
        <v>3</v>
      </c>
      <c r="D174" s="2">
        <v>15000</v>
      </c>
    </row>
    <row r="175" spans="1:4" ht="12.75" x14ac:dyDescent="0.2">
      <c r="A175" s="2">
        <v>71</v>
      </c>
      <c r="B175" s="2">
        <v>4</v>
      </c>
      <c r="C175" s="2">
        <v>2</v>
      </c>
      <c r="D175" s="2">
        <v>12000</v>
      </c>
    </row>
    <row r="176" spans="1:4" ht="12.75" x14ac:dyDescent="0.2">
      <c r="A176" s="2">
        <v>71</v>
      </c>
      <c r="B176" s="2">
        <v>6</v>
      </c>
      <c r="C176" s="2">
        <v>2</v>
      </c>
      <c r="D176" s="2">
        <v>7000</v>
      </c>
    </row>
    <row r="177" spans="1:4" ht="12.75" x14ac:dyDescent="0.2">
      <c r="A177" s="2">
        <v>72</v>
      </c>
      <c r="B177" s="2">
        <v>4</v>
      </c>
      <c r="C177" s="2">
        <v>1</v>
      </c>
      <c r="D177" s="2">
        <v>12000</v>
      </c>
    </row>
    <row r="178" spans="1:4" ht="12.75" x14ac:dyDescent="0.2">
      <c r="A178" s="2">
        <v>72</v>
      </c>
      <c r="B178" s="2">
        <v>6</v>
      </c>
      <c r="C178" s="2">
        <v>3</v>
      </c>
      <c r="D178" s="2">
        <v>7000</v>
      </c>
    </row>
    <row r="179" spans="1:4" ht="12.75" x14ac:dyDescent="0.2">
      <c r="A179" s="2">
        <v>73</v>
      </c>
      <c r="B179" s="2">
        <v>7</v>
      </c>
      <c r="C179" s="2">
        <v>1</v>
      </c>
      <c r="D179" s="2">
        <v>40000</v>
      </c>
    </row>
    <row r="180" spans="1:4" ht="12.75" x14ac:dyDescent="0.2">
      <c r="A180" s="2">
        <v>73</v>
      </c>
      <c r="B180" s="2">
        <v>8</v>
      </c>
      <c r="C180" s="2">
        <v>1</v>
      </c>
      <c r="D180" s="2">
        <v>3000</v>
      </c>
    </row>
    <row r="181" spans="1:4" ht="12.75" x14ac:dyDescent="0.2">
      <c r="A181" s="2">
        <v>74</v>
      </c>
      <c r="B181" s="2">
        <v>7</v>
      </c>
      <c r="C181" s="2">
        <v>1</v>
      </c>
      <c r="D181" s="2">
        <v>40000</v>
      </c>
    </row>
    <row r="182" spans="1:4" ht="12.75" x14ac:dyDescent="0.2">
      <c r="A182" s="2">
        <v>74</v>
      </c>
      <c r="B182" s="2">
        <v>5</v>
      </c>
      <c r="C182" s="2">
        <v>1</v>
      </c>
      <c r="D182" s="2">
        <v>5000</v>
      </c>
    </row>
    <row r="183" spans="1:4" ht="12.75" x14ac:dyDescent="0.2">
      <c r="A183" s="2">
        <v>74</v>
      </c>
      <c r="B183" s="2">
        <v>6</v>
      </c>
      <c r="C183" s="2">
        <v>3</v>
      </c>
      <c r="D183" s="2">
        <v>7000</v>
      </c>
    </row>
    <row r="184" spans="1:4" ht="12.75" x14ac:dyDescent="0.2">
      <c r="A184" s="2">
        <v>74</v>
      </c>
      <c r="B184" s="2">
        <v>7</v>
      </c>
      <c r="C184" s="2">
        <v>1</v>
      </c>
      <c r="D184" s="2">
        <v>40000</v>
      </c>
    </row>
    <row r="185" spans="1:4" ht="12.75" x14ac:dyDescent="0.2">
      <c r="A185" s="2">
        <v>75</v>
      </c>
      <c r="B185" s="2">
        <v>4</v>
      </c>
      <c r="C185" s="2">
        <v>2</v>
      </c>
      <c r="D185" s="2">
        <v>12000</v>
      </c>
    </row>
    <row r="186" spans="1:4" ht="12.75" x14ac:dyDescent="0.2">
      <c r="A186" s="2">
        <v>75</v>
      </c>
      <c r="B186" s="2">
        <v>8</v>
      </c>
      <c r="C186" s="2">
        <v>2</v>
      </c>
      <c r="D186" s="2">
        <v>3000</v>
      </c>
    </row>
    <row r="187" spans="1:4" ht="12.75" x14ac:dyDescent="0.2">
      <c r="A187" s="2">
        <v>75</v>
      </c>
      <c r="B187" s="2">
        <v>1</v>
      </c>
      <c r="C187" s="2">
        <v>2</v>
      </c>
      <c r="D187" s="2">
        <v>15000</v>
      </c>
    </row>
    <row r="188" spans="1:4" ht="12.75" x14ac:dyDescent="0.2">
      <c r="A188" s="2">
        <v>75</v>
      </c>
      <c r="B188" s="2">
        <v>6</v>
      </c>
      <c r="C188" s="2">
        <v>2</v>
      </c>
      <c r="D188" s="2">
        <v>7000</v>
      </c>
    </row>
    <row r="189" spans="1:4" ht="12.75" x14ac:dyDescent="0.2">
      <c r="A189" s="2">
        <v>76</v>
      </c>
      <c r="B189" s="2">
        <v>2</v>
      </c>
      <c r="C189" s="2">
        <v>3</v>
      </c>
      <c r="D189" s="2">
        <v>60000</v>
      </c>
    </row>
    <row r="190" spans="1:4" ht="12.75" x14ac:dyDescent="0.2">
      <c r="A190" s="2">
        <v>76</v>
      </c>
      <c r="B190" s="2">
        <v>5</v>
      </c>
      <c r="C190" s="2">
        <v>1</v>
      </c>
      <c r="D190" s="2">
        <v>5000</v>
      </c>
    </row>
    <row r="191" spans="1:4" ht="12.75" x14ac:dyDescent="0.2">
      <c r="A191" s="2">
        <v>76</v>
      </c>
      <c r="B191" s="2">
        <v>1</v>
      </c>
      <c r="C191" s="2">
        <v>2</v>
      </c>
      <c r="D191" s="2">
        <v>15000</v>
      </c>
    </row>
    <row r="192" spans="1:4" ht="12.75" x14ac:dyDescent="0.2">
      <c r="A192" s="2">
        <v>76</v>
      </c>
      <c r="B192" s="2">
        <v>4</v>
      </c>
      <c r="C192" s="2">
        <v>2</v>
      </c>
      <c r="D192" s="2">
        <v>12000</v>
      </c>
    </row>
    <row r="193" spans="1:4" ht="12.75" x14ac:dyDescent="0.2">
      <c r="A193" s="2">
        <v>77</v>
      </c>
      <c r="B193" s="2">
        <v>3</v>
      </c>
      <c r="C193" s="2">
        <v>3</v>
      </c>
      <c r="D193" s="2">
        <v>8000</v>
      </c>
    </row>
    <row r="194" spans="1:4" ht="12.75" x14ac:dyDescent="0.2">
      <c r="A194" s="2">
        <v>78</v>
      </c>
      <c r="B194" s="2">
        <v>1</v>
      </c>
      <c r="C194" s="2">
        <v>3</v>
      </c>
      <c r="D194" s="2">
        <v>15000</v>
      </c>
    </row>
    <row r="195" spans="1:4" ht="12.75" x14ac:dyDescent="0.2">
      <c r="A195" s="2">
        <v>78</v>
      </c>
      <c r="B195" s="2">
        <v>4</v>
      </c>
      <c r="C195" s="2">
        <v>3</v>
      </c>
      <c r="D195" s="2">
        <v>12000</v>
      </c>
    </row>
    <row r="196" spans="1:4" ht="12.75" x14ac:dyDescent="0.2">
      <c r="A196" s="2">
        <v>78</v>
      </c>
      <c r="B196" s="2">
        <v>2</v>
      </c>
      <c r="C196" s="2">
        <v>1</v>
      </c>
      <c r="D196" s="2">
        <v>60000</v>
      </c>
    </row>
    <row r="197" spans="1:4" ht="12.75" x14ac:dyDescent="0.2">
      <c r="A197" s="2">
        <v>79</v>
      </c>
      <c r="B197" s="2">
        <v>8</v>
      </c>
      <c r="C197" s="2">
        <v>2</v>
      </c>
      <c r="D197" s="2">
        <v>3000</v>
      </c>
    </row>
    <row r="198" spans="1:4" ht="12.75" x14ac:dyDescent="0.2">
      <c r="A198" s="2">
        <v>79</v>
      </c>
      <c r="B198" s="2">
        <v>8</v>
      </c>
      <c r="C198" s="2">
        <v>1</v>
      </c>
      <c r="D198" s="2">
        <v>3000</v>
      </c>
    </row>
    <row r="199" spans="1:4" ht="12.75" x14ac:dyDescent="0.2">
      <c r="A199" s="2">
        <v>79</v>
      </c>
      <c r="B199" s="2">
        <v>3</v>
      </c>
      <c r="C199" s="2">
        <v>1</v>
      </c>
      <c r="D199" s="2">
        <v>8000</v>
      </c>
    </row>
    <row r="200" spans="1:4" ht="12.75" x14ac:dyDescent="0.2">
      <c r="A200" s="2">
        <v>79</v>
      </c>
      <c r="B200" s="2">
        <v>4</v>
      </c>
      <c r="C200" s="2">
        <v>1</v>
      </c>
      <c r="D200" s="2">
        <v>12000</v>
      </c>
    </row>
    <row r="201" spans="1:4" ht="12.75" x14ac:dyDescent="0.2">
      <c r="A201" s="2">
        <v>80</v>
      </c>
      <c r="B201" s="2">
        <v>5</v>
      </c>
      <c r="C201" s="2">
        <v>3</v>
      </c>
      <c r="D201" s="2">
        <v>5000</v>
      </c>
    </row>
    <row r="202" spans="1:4" ht="12.75" x14ac:dyDescent="0.2">
      <c r="A202" s="2">
        <v>80</v>
      </c>
      <c r="B202" s="2">
        <v>5</v>
      </c>
      <c r="C202" s="2">
        <v>2</v>
      </c>
      <c r="D202" s="2">
        <v>5000</v>
      </c>
    </row>
    <row r="203" spans="1:4" ht="12.75" x14ac:dyDescent="0.2">
      <c r="A203" s="2">
        <v>80</v>
      </c>
      <c r="B203" s="2">
        <v>5</v>
      </c>
      <c r="C203" s="2">
        <v>2</v>
      </c>
      <c r="D203" s="2">
        <v>5000</v>
      </c>
    </row>
    <row r="204" spans="1:4" ht="12.75" x14ac:dyDescent="0.2">
      <c r="A204" s="2">
        <v>81</v>
      </c>
      <c r="B204" s="2">
        <v>2</v>
      </c>
      <c r="C204" s="2">
        <v>1</v>
      </c>
      <c r="D204" s="2">
        <v>60000</v>
      </c>
    </row>
    <row r="205" spans="1:4" ht="12.75" x14ac:dyDescent="0.2">
      <c r="A205" s="2">
        <v>81</v>
      </c>
      <c r="B205" s="2">
        <v>3</v>
      </c>
      <c r="C205" s="2">
        <v>2</v>
      </c>
      <c r="D205" s="2">
        <v>8000</v>
      </c>
    </row>
    <row r="206" spans="1:4" ht="12.75" x14ac:dyDescent="0.2">
      <c r="A206" s="2">
        <v>82</v>
      </c>
      <c r="B206" s="2">
        <v>3</v>
      </c>
      <c r="C206" s="2">
        <v>3</v>
      </c>
      <c r="D206" s="2">
        <v>8000</v>
      </c>
    </row>
    <row r="207" spans="1:4" ht="12.75" x14ac:dyDescent="0.2">
      <c r="A207" s="2">
        <v>82</v>
      </c>
      <c r="B207" s="2">
        <v>1</v>
      </c>
      <c r="C207" s="2">
        <v>3</v>
      </c>
      <c r="D207" s="2">
        <v>15000</v>
      </c>
    </row>
    <row r="208" spans="1:4" ht="12.75" x14ac:dyDescent="0.2">
      <c r="A208" s="2">
        <v>82</v>
      </c>
      <c r="B208" s="2">
        <v>5</v>
      </c>
      <c r="C208" s="2">
        <v>3</v>
      </c>
      <c r="D208" s="2">
        <v>5000</v>
      </c>
    </row>
    <row r="209" spans="1:4" ht="12.75" x14ac:dyDescent="0.2">
      <c r="A209" s="2">
        <v>83</v>
      </c>
      <c r="B209" s="2">
        <v>2</v>
      </c>
      <c r="C209" s="2">
        <v>1</v>
      </c>
      <c r="D209" s="2">
        <v>60000</v>
      </c>
    </row>
    <row r="210" spans="1:4" ht="12.75" x14ac:dyDescent="0.2">
      <c r="A210" s="2">
        <v>83</v>
      </c>
      <c r="B210" s="2">
        <v>6</v>
      </c>
      <c r="C210" s="2">
        <v>2</v>
      </c>
      <c r="D210" s="2">
        <v>7000</v>
      </c>
    </row>
    <row r="211" spans="1:4" ht="12.75" x14ac:dyDescent="0.2">
      <c r="A211" s="2">
        <v>83</v>
      </c>
      <c r="B211" s="2">
        <v>8</v>
      </c>
      <c r="C211" s="2">
        <v>3</v>
      </c>
      <c r="D211" s="2">
        <v>3000</v>
      </c>
    </row>
    <row r="212" spans="1:4" ht="12.75" x14ac:dyDescent="0.2">
      <c r="A212" s="2">
        <v>84</v>
      </c>
      <c r="B212" s="2">
        <v>8</v>
      </c>
      <c r="C212" s="2">
        <v>1</v>
      </c>
      <c r="D212" s="2">
        <v>3000</v>
      </c>
    </row>
    <row r="213" spans="1:4" ht="12.75" x14ac:dyDescent="0.2">
      <c r="A213" s="2">
        <v>84</v>
      </c>
      <c r="B213" s="2">
        <v>7</v>
      </c>
      <c r="C213" s="2">
        <v>1</v>
      </c>
      <c r="D213" s="2">
        <v>40000</v>
      </c>
    </row>
    <row r="214" spans="1:4" ht="12.75" x14ac:dyDescent="0.2">
      <c r="A214" s="2">
        <v>84</v>
      </c>
      <c r="B214" s="2">
        <v>7</v>
      </c>
      <c r="C214" s="2">
        <v>1</v>
      </c>
      <c r="D214" s="2">
        <v>40000</v>
      </c>
    </row>
    <row r="215" spans="1:4" ht="12.75" x14ac:dyDescent="0.2">
      <c r="A215" s="2">
        <v>85</v>
      </c>
      <c r="B215" s="2">
        <v>5</v>
      </c>
      <c r="C215" s="2">
        <v>2</v>
      </c>
      <c r="D215" s="2">
        <v>5000</v>
      </c>
    </row>
    <row r="216" spans="1:4" ht="12.75" x14ac:dyDescent="0.2">
      <c r="A216" s="2">
        <v>85</v>
      </c>
      <c r="B216" s="2">
        <v>1</v>
      </c>
      <c r="C216" s="2">
        <v>2</v>
      </c>
      <c r="D216" s="2">
        <v>15000</v>
      </c>
    </row>
    <row r="217" spans="1:4" ht="12.75" x14ac:dyDescent="0.2">
      <c r="A217" s="2">
        <v>86</v>
      </c>
      <c r="B217" s="2">
        <v>4</v>
      </c>
      <c r="C217" s="2">
        <v>1</v>
      </c>
      <c r="D217" s="2">
        <v>12000</v>
      </c>
    </row>
    <row r="218" spans="1:4" ht="12.75" x14ac:dyDescent="0.2">
      <c r="A218" s="2">
        <v>86</v>
      </c>
      <c r="B218" s="2">
        <v>2</v>
      </c>
      <c r="C218" s="2">
        <v>1</v>
      </c>
      <c r="D218" s="2">
        <v>60000</v>
      </c>
    </row>
    <row r="219" spans="1:4" ht="12.75" x14ac:dyDescent="0.2">
      <c r="A219" s="2">
        <v>86</v>
      </c>
      <c r="B219" s="2">
        <v>5</v>
      </c>
      <c r="C219" s="2">
        <v>1</v>
      </c>
      <c r="D219" s="2">
        <v>5000</v>
      </c>
    </row>
    <row r="220" spans="1:4" ht="12.75" x14ac:dyDescent="0.2">
      <c r="A220" s="2">
        <v>87</v>
      </c>
      <c r="B220" s="2">
        <v>1</v>
      </c>
      <c r="C220" s="2">
        <v>2</v>
      </c>
      <c r="D220" s="2">
        <v>15000</v>
      </c>
    </row>
    <row r="221" spans="1:4" ht="12.75" x14ac:dyDescent="0.2">
      <c r="A221" s="2">
        <v>87</v>
      </c>
      <c r="B221" s="2">
        <v>6</v>
      </c>
      <c r="C221" s="2">
        <v>2</v>
      </c>
      <c r="D221" s="2">
        <v>7000</v>
      </c>
    </row>
    <row r="222" spans="1:4" ht="12.75" x14ac:dyDescent="0.2">
      <c r="A222" s="2">
        <v>88</v>
      </c>
      <c r="B222" s="2">
        <v>8</v>
      </c>
      <c r="C222" s="2">
        <v>2</v>
      </c>
      <c r="D222" s="2">
        <v>3000</v>
      </c>
    </row>
    <row r="223" spans="1:4" ht="12.75" x14ac:dyDescent="0.2">
      <c r="A223" s="2">
        <v>88</v>
      </c>
      <c r="B223" s="2">
        <v>1</v>
      </c>
      <c r="C223" s="2">
        <v>1</v>
      </c>
      <c r="D223" s="2">
        <v>15000</v>
      </c>
    </row>
    <row r="224" spans="1:4" ht="12.75" x14ac:dyDescent="0.2">
      <c r="A224" s="2">
        <v>89</v>
      </c>
      <c r="B224" s="2">
        <v>5</v>
      </c>
      <c r="C224" s="2">
        <v>1</v>
      </c>
      <c r="D224" s="2">
        <v>5000</v>
      </c>
    </row>
    <row r="225" spans="1:4" ht="12.75" x14ac:dyDescent="0.2">
      <c r="A225" s="2">
        <v>89</v>
      </c>
      <c r="B225" s="2">
        <v>2</v>
      </c>
      <c r="C225" s="2">
        <v>1</v>
      </c>
      <c r="D225" s="2">
        <v>60000</v>
      </c>
    </row>
    <row r="226" spans="1:4" ht="12.75" x14ac:dyDescent="0.2">
      <c r="A226" s="2">
        <v>89</v>
      </c>
      <c r="B226" s="2">
        <v>4</v>
      </c>
      <c r="C226" s="2">
        <v>2</v>
      </c>
      <c r="D226" s="2">
        <v>12000</v>
      </c>
    </row>
    <row r="227" spans="1:4" ht="12.75" x14ac:dyDescent="0.2">
      <c r="A227" s="2">
        <v>89</v>
      </c>
      <c r="B227" s="2">
        <v>2</v>
      </c>
      <c r="C227" s="2">
        <v>1</v>
      </c>
      <c r="D227" s="2">
        <v>60000</v>
      </c>
    </row>
    <row r="228" spans="1:4" ht="12.75" x14ac:dyDescent="0.2">
      <c r="A228" s="2">
        <v>90</v>
      </c>
      <c r="B228" s="2">
        <v>2</v>
      </c>
      <c r="C228" s="2">
        <v>3</v>
      </c>
      <c r="D228" s="2">
        <v>60000</v>
      </c>
    </row>
    <row r="229" spans="1:4" ht="12.75" x14ac:dyDescent="0.2">
      <c r="A229" s="2">
        <v>90</v>
      </c>
      <c r="B229" s="2">
        <v>5</v>
      </c>
      <c r="C229" s="2">
        <v>1</v>
      </c>
      <c r="D229" s="2">
        <v>5000</v>
      </c>
    </row>
    <row r="230" spans="1:4" ht="12.75" x14ac:dyDescent="0.2">
      <c r="A230" s="2">
        <v>91</v>
      </c>
      <c r="B230" s="2">
        <v>8</v>
      </c>
      <c r="C230" s="2">
        <v>1</v>
      </c>
      <c r="D230" s="2">
        <v>3000</v>
      </c>
    </row>
    <row r="231" spans="1:4" ht="12.75" x14ac:dyDescent="0.2">
      <c r="A231" s="2">
        <v>91</v>
      </c>
      <c r="B231" s="2">
        <v>4</v>
      </c>
      <c r="C231" s="2">
        <v>1</v>
      </c>
      <c r="D231" s="2">
        <v>12000</v>
      </c>
    </row>
    <row r="232" spans="1:4" ht="12.75" x14ac:dyDescent="0.2">
      <c r="A232" s="2">
        <v>91</v>
      </c>
      <c r="B232" s="2">
        <v>7</v>
      </c>
      <c r="C232" s="2">
        <v>2</v>
      </c>
      <c r="D232" s="2">
        <v>40000</v>
      </c>
    </row>
    <row r="233" spans="1:4" ht="12.75" x14ac:dyDescent="0.2">
      <c r="A233" s="2">
        <v>92</v>
      </c>
      <c r="B233" s="2">
        <v>8</v>
      </c>
      <c r="C233" s="2">
        <v>3</v>
      </c>
      <c r="D233" s="2">
        <v>3000</v>
      </c>
    </row>
    <row r="234" spans="1:4" ht="12.75" x14ac:dyDescent="0.2">
      <c r="A234" s="2">
        <v>92</v>
      </c>
      <c r="B234" s="2">
        <v>8</v>
      </c>
      <c r="C234" s="2">
        <v>2</v>
      </c>
      <c r="D234" s="2">
        <v>3000</v>
      </c>
    </row>
    <row r="235" spans="1:4" ht="12.75" x14ac:dyDescent="0.2">
      <c r="A235" s="2">
        <v>93</v>
      </c>
      <c r="B235" s="2">
        <v>7</v>
      </c>
      <c r="C235" s="2">
        <v>2</v>
      </c>
      <c r="D235" s="2">
        <v>40000</v>
      </c>
    </row>
    <row r="236" spans="1:4" ht="12.75" x14ac:dyDescent="0.2">
      <c r="A236" s="2">
        <v>94</v>
      </c>
      <c r="B236" s="2">
        <v>5</v>
      </c>
      <c r="C236" s="2">
        <v>2</v>
      </c>
      <c r="D236" s="2">
        <v>5000</v>
      </c>
    </row>
    <row r="237" spans="1:4" ht="12.75" x14ac:dyDescent="0.2">
      <c r="A237" s="2">
        <v>94</v>
      </c>
      <c r="B237" s="2">
        <v>6</v>
      </c>
      <c r="C237" s="2">
        <v>3</v>
      </c>
      <c r="D237" s="2">
        <v>7000</v>
      </c>
    </row>
    <row r="238" spans="1:4" ht="12.75" x14ac:dyDescent="0.2">
      <c r="A238" s="2">
        <v>94</v>
      </c>
      <c r="B238" s="2">
        <v>6</v>
      </c>
      <c r="C238" s="2">
        <v>3</v>
      </c>
      <c r="D238" s="2">
        <v>7000</v>
      </c>
    </row>
    <row r="239" spans="1:4" ht="12.75" x14ac:dyDescent="0.2">
      <c r="A239" s="2">
        <v>94</v>
      </c>
      <c r="B239" s="2">
        <v>5</v>
      </c>
      <c r="C239" s="2">
        <v>3</v>
      </c>
      <c r="D239" s="2">
        <v>5000</v>
      </c>
    </row>
    <row r="240" spans="1:4" ht="12.75" x14ac:dyDescent="0.2">
      <c r="A240" s="2">
        <v>95</v>
      </c>
      <c r="B240" s="2">
        <v>7</v>
      </c>
      <c r="C240" s="2">
        <v>1</v>
      </c>
      <c r="D240" s="2">
        <v>40000</v>
      </c>
    </row>
    <row r="241" spans="1:4" ht="12.75" x14ac:dyDescent="0.2">
      <c r="A241" s="2">
        <v>96</v>
      </c>
      <c r="B241" s="2">
        <v>2</v>
      </c>
      <c r="C241" s="2">
        <v>3</v>
      </c>
      <c r="D241" s="2">
        <v>60000</v>
      </c>
    </row>
    <row r="242" spans="1:4" ht="12.75" x14ac:dyDescent="0.2">
      <c r="A242" s="2">
        <v>97</v>
      </c>
      <c r="B242" s="2">
        <v>2</v>
      </c>
      <c r="C242" s="2">
        <v>1</v>
      </c>
      <c r="D242" s="2">
        <v>60000</v>
      </c>
    </row>
    <row r="243" spans="1:4" ht="12.75" x14ac:dyDescent="0.2">
      <c r="A243" s="2">
        <v>97</v>
      </c>
      <c r="B243" s="2">
        <v>3</v>
      </c>
      <c r="C243" s="2">
        <v>3</v>
      </c>
      <c r="D243" s="2">
        <v>8000</v>
      </c>
    </row>
    <row r="244" spans="1:4" ht="12.75" x14ac:dyDescent="0.2">
      <c r="A244" s="2">
        <v>98</v>
      </c>
      <c r="B244" s="2">
        <v>2</v>
      </c>
      <c r="C244" s="2">
        <v>2</v>
      </c>
      <c r="D244" s="2">
        <v>60000</v>
      </c>
    </row>
    <row r="245" spans="1:4" ht="12.75" x14ac:dyDescent="0.2">
      <c r="A245" s="2">
        <v>98</v>
      </c>
      <c r="B245" s="2">
        <v>4</v>
      </c>
      <c r="C245" s="2">
        <v>2</v>
      </c>
      <c r="D245" s="2">
        <v>12000</v>
      </c>
    </row>
    <row r="246" spans="1:4" ht="12.75" x14ac:dyDescent="0.2">
      <c r="A246" s="2">
        <v>99</v>
      </c>
      <c r="B246" s="2">
        <v>8</v>
      </c>
      <c r="C246" s="2">
        <v>3</v>
      </c>
      <c r="D246" s="2">
        <v>3000</v>
      </c>
    </row>
    <row r="247" spans="1:4" ht="12.75" x14ac:dyDescent="0.2">
      <c r="A247" s="2">
        <v>99</v>
      </c>
      <c r="B247" s="2">
        <v>2</v>
      </c>
      <c r="C247" s="2">
        <v>3</v>
      </c>
      <c r="D247" s="2">
        <v>60000</v>
      </c>
    </row>
    <row r="248" spans="1:4" ht="12.75" x14ac:dyDescent="0.2">
      <c r="A248" s="2">
        <v>99</v>
      </c>
      <c r="B248" s="2">
        <v>8</v>
      </c>
      <c r="C248" s="2">
        <v>1</v>
      </c>
      <c r="D248" s="2">
        <v>3000</v>
      </c>
    </row>
    <row r="249" spans="1:4" ht="12.75" x14ac:dyDescent="0.2">
      <c r="A249" s="2">
        <v>100</v>
      </c>
      <c r="B249" s="2">
        <v>2</v>
      </c>
      <c r="C249" s="2">
        <v>1</v>
      </c>
      <c r="D249" s="2">
        <v>60000</v>
      </c>
    </row>
    <row r="250" spans="1:4" ht="12.75" x14ac:dyDescent="0.2">
      <c r="A250" s="2">
        <v>100</v>
      </c>
      <c r="B250" s="2">
        <v>4</v>
      </c>
      <c r="C250" s="2">
        <v>2</v>
      </c>
      <c r="D250" s="2">
        <v>12000</v>
      </c>
    </row>
    <row r="251" spans="1:4" ht="12.75" x14ac:dyDescent="0.2">
      <c r="A251" s="2">
        <v>100</v>
      </c>
      <c r="B251" s="2">
        <v>3</v>
      </c>
      <c r="C251" s="2">
        <v>2</v>
      </c>
      <c r="D251" s="2">
        <v>8000</v>
      </c>
    </row>
    <row r="252" spans="1:4" ht="12.75" x14ac:dyDescent="0.2">
      <c r="A252" s="2">
        <v>100</v>
      </c>
      <c r="B252" s="2">
        <v>3</v>
      </c>
      <c r="C252" s="2">
        <v>3</v>
      </c>
      <c r="D252" s="2">
        <v>8000</v>
      </c>
    </row>
    <row r="253" spans="1:4" ht="12.75" x14ac:dyDescent="0.2">
      <c r="A253" s="2">
        <v>101</v>
      </c>
      <c r="B253" s="2">
        <v>3</v>
      </c>
      <c r="C253" s="2">
        <v>1</v>
      </c>
      <c r="D253" s="2">
        <v>8000</v>
      </c>
    </row>
    <row r="254" spans="1:4" ht="12.75" x14ac:dyDescent="0.2">
      <c r="A254" s="2">
        <v>101</v>
      </c>
      <c r="B254" s="2">
        <v>8</v>
      </c>
      <c r="C254" s="2">
        <v>2</v>
      </c>
      <c r="D254" s="2">
        <v>3000</v>
      </c>
    </row>
    <row r="255" spans="1:4" ht="12.75" x14ac:dyDescent="0.2">
      <c r="A255" s="2">
        <v>101</v>
      </c>
      <c r="B255" s="2">
        <v>5</v>
      </c>
      <c r="C255" s="2">
        <v>2</v>
      </c>
      <c r="D255" s="2">
        <v>5000</v>
      </c>
    </row>
    <row r="256" spans="1:4" ht="12.75" x14ac:dyDescent="0.2">
      <c r="A256" s="2">
        <v>102</v>
      </c>
      <c r="B256" s="2">
        <v>4</v>
      </c>
      <c r="C256" s="2">
        <v>1</v>
      </c>
      <c r="D256" s="2">
        <v>12000</v>
      </c>
    </row>
    <row r="257" spans="1:4" ht="12.75" x14ac:dyDescent="0.2">
      <c r="A257" s="2">
        <v>102</v>
      </c>
      <c r="B257" s="2">
        <v>8</v>
      </c>
      <c r="C257" s="2">
        <v>3</v>
      </c>
      <c r="D257" s="2">
        <v>3000</v>
      </c>
    </row>
    <row r="258" spans="1:4" ht="12.75" x14ac:dyDescent="0.2">
      <c r="A258" s="2">
        <v>103</v>
      </c>
      <c r="B258" s="2">
        <v>4</v>
      </c>
      <c r="C258" s="2">
        <v>2</v>
      </c>
      <c r="D258" s="2">
        <v>12000</v>
      </c>
    </row>
    <row r="259" spans="1:4" ht="12.75" x14ac:dyDescent="0.2">
      <c r="A259" s="2">
        <v>103</v>
      </c>
      <c r="B259" s="2">
        <v>4</v>
      </c>
      <c r="C259" s="2">
        <v>2</v>
      </c>
      <c r="D259" s="2">
        <v>12000</v>
      </c>
    </row>
    <row r="260" spans="1:4" ht="12.75" x14ac:dyDescent="0.2">
      <c r="A260" s="2">
        <v>103</v>
      </c>
      <c r="B260" s="2">
        <v>8</v>
      </c>
      <c r="C260" s="2">
        <v>3</v>
      </c>
      <c r="D260" s="2">
        <v>3000</v>
      </c>
    </row>
    <row r="261" spans="1:4" ht="12.75" x14ac:dyDescent="0.2">
      <c r="A261" s="2">
        <v>104</v>
      </c>
      <c r="B261" s="2">
        <v>8</v>
      </c>
      <c r="C261" s="2">
        <v>3</v>
      </c>
      <c r="D261" s="2">
        <v>3000</v>
      </c>
    </row>
    <row r="262" spans="1:4" ht="12.75" x14ac:dyDescent="0.2">
      <c r="A262" s="2">
        <v>104</v>
      </c>
      <c r="B262" s="2">
        <v>3</v>
      </c>
      <c r="C262" s="2">
        <v>2</v>
      </c>
      <c r="D262" s="2">
        <v>8000</v>
      </c>
    </row>
    <row r="263" spans="1:4" ht="12.75" x14ac:dyDescent="0.2">
      <c r="A263" s="2">
        <v>104</v>
      </c>
      <c r="B263" s="2">
        <v>4</v>
      </c>
      <c r="C263" s="2">
        <v>1</v>
      </c>
      <c r="D263" s="2">
        <v>12000</v>
      </c>
    </row>
    <row r="264" spans="1:4" ht="12.75" x14ac:dyDescent="0.2">
      <c r="A264" s="2">
        <v>105</v>
      </c>
      <c r="B264" s="2">
        <v>3</v>
      </c>
      <c r="C264" s="2">
        <v>2</v>
      </c>
      <c r="D264" s="2">
        <v>8000</v>
      </c>
    </row>
    <row r="265" spans="1:4" ht="12.75" x14ac:dyDescent="0.2">
      <c r="A265" s="2">
        <v>105</v>
      </c>
      <c r="B265" s="2">
        <v>1</v>
      </c>
      <c r="C265" s="2">
        <v>1</v>
      </c>
      <c r="D265" s="2">
        <v>15000</v>
      </c>
    </row>
    <row r="266" spans="1:4" ht="12.75" x14ac:dyDescent="0.2">
      <c r="A266" s="2">
        <v>105</v>
      </c>
      <c r="B266" s="2">
        <v>8</v>
      </c>
      <c r="C266" s="2">
        <v>2</v>
      </c>
      <c r="D266" s="2">
        <v>3000</v>
      </c>
    </row>
    <row r="267" spans="1:4" ht="12.75" x14ac:dyDescent="0.2">
      <c r="A267" s="2">
        <v>105</v>
      </c>
      <c r="B267" s="2">
        <v>8</v>
      </c>
      <c r="C267" s="2">
        <v>3</v>
      </c>
      <c r="D267" s="2">
        <v>3000</v>
      </c>
    </row>
    <row r="268" spans="1:4" ht="12.75" x14ac:dyDescent="0.2">
      <c r="A268" s="2">
        <v>106</v>
      </c>
      <c r="B268" s="2">
        <v>4</v>
      </c>
      <c r="C268" s="2">
        <v>3</v>
      </c>
      <c r="D268" s="2">
        <v>12000</v>
      </c>
    </row>
    <row r="269" spans="1:4" ht="12.75" x14ac:dyDescent="0.2">
      <c r="A269" s="2">
        <v>106</v>
      </c>
      <c r="B269" s="2">
        <v>4</v>
      </c>
      <c r="C269" s="2">
        <v>1</v>
      </c>
      <c r="D269" s="2">
        <v>12000</v>
      </c>
    </row>
    <row r="270" spans="1:4" ht="12.75" x14ac:dyDescent="0.2">
      <c r="A270" s="2">
        <v>107</v>
      </c>
      <c r="B270" s="2">
        <v>5</v>
      </c>
      <c r="C270" s="2">
        <v>1</v>
      </c>
      <c r="D270" s="2">
        <v>5000</v>
      </c>
    </row>
    <row r="271" spans="1:4" ht="12.75" x14ac:dyDescent="0.2">
      <c r="A271" s="2">
        <v>107</v>
      </c>
      <c r="B271" s="2">
        <v>2</v>
      </c>
      <c r="C271" s="2">
        <v>2</v>
      </c>
      <c r="D271" s="2">
        <v>60000</v>
      </c>
    </row>
    <row r="272" spans="1:4" ht="12.75" x14ac:dyDescent="0.2">
      <c r="A272" s="2">
        <v>107</v>
      </c>
      <c r="B272" s="2">
        <v>3</v>
      </c>
      <c r="C272" s="2">
        <v>1</v>
      </c>
      <c r="D272" s="2">
        <v>8000</v>
      </c>
    </row>
    <row r="273" spans="1:4" ht="12.75" x14ac:dyDescent="0.2">
      <c r="A273" s="2">
        <v>107</v>
      </c>
      <c r="B273" s="2">
        <v>2</v>
      </c>
      <c r="C273" s="2">
        <v>3</v>
      </c>
      <c r="D273" s="2">
        <v>60000</v>
      </c>
    </row>
    <row r="274" spans="1:4" ht="12.75" x14ac:dyDescent="0.2">
      <c r="A274" s="2">
        <v>108</v>
      </c>
      <c r="B274" s="2">
        <v>2</v>
      </c>
      <c r="C274" s="2">
        <v>2</v>
      </c>
      <c r="D274" s="2">
        <v>60000</v>
      </c>
    </row>
    <row r="275" spans="1:4" ht="12.75" x14ac:dyDescent="0.2">
      <c r="A275" s="2">
        <v>108</v>
      </c>
      <c r="B275" s="2">
        <v>2</v>
      </c>
      <c r="C275" s="2">
        <v>2</v>
      </c>
      <c r="D275" s="2">
        <v>60000</v>
      </c>
    </row>
    <row r="276" spans="1:4" ht="12.75" x14ac:dyDescent="0.2">
      <c r="A276" s="2">
        <v>109</v>
      </c>
      <c r="B276" s="2">
        <v>7</v>
      </c>
      <c r="C276" s="2">
        <v>3</v>
      </c>
      <c r="D276" s="2">
        <v>40000</v>
      </c>
    </row>
    <row r="277" spans="1:4" ht="12.75" x14ac:dyDescent="0.2">
      <c r="A277" s="2">
        <v>109</v>
      </c>
      <c r="B277" s="2">
        <v>7</v>
      </c>
      <c r="C277" s="2">
        <v>1</v>
      </c>
      <c r="D277" s="2">
        <v>40000</v>
      </c>
    </row>
    <row r="278" spans="1:4" ht="12.75" x14ac:dyDescent="0.2">
      <c r="A278" s="2">
        <v>109</v>
      </c>
      <c r="B278" s="2">
        <v>8</v>
      </c>
      <c r="C278" s="2">
        <v>1</v>
      </c>
      <c r="D278" s="2">
        <v>3000</v>
      </c>
    </row>
    <row r="279" spans="1:4" ht="12.75" x14ac:dyDescent="0.2">
      <c r="A279" s="2">
        <v>109</v>
      </c>
      <c r="B279" s="2">
        <v>2</v>
      </c>
      <c r="C279" s="2">
        <v>1</v>
      </c>
      <c r="D279" s="2">
        <v>60000</v>
      </c>
    </row>
    <row r="280" spans="1:4" ht="12.75" x14ac:dyDescent="0.2">
      <c r="A280" s="2">
        <v>110</v>
      </c>
      <c r="B280" s="2">
        <v>8</v>
      </c>
      <c r="C280" s="2">
        <v>3</v>
      </c>
      <c r="D280" s="2">
        <v>3000</v>
      </c>
    </row>
    <row r="281" spans="1:4" ht="12.75" x14ac:dyDescent="0.2">
      <c r="A281" s="2">
        <v>110</v>
      </c>
      <c r="B281" s="2">
        <v>1</v>
      </c>
      <c r="C281" s="2">
        <v>1</v>
      </c>
      <c r="D281" s="2">
        <v>15000</v>
      </c>
    </row>
    <row r="282" spans="1:4" ht="12.75" x14ac:dyDescent="0.2">
      <c r="A282" s="2">
        <v>111</v>
      </c>
      <c r="B282" s="2">
        <v>3</v>
      </c>
      <c r="C282" s="2">
        <v>2</v>
      </c>
      <c r="D282" s="2">
        <v>8000</v>
      </c>
    </row>
    <row r="283" spans="1:4" ht="12.75" x14ac:dyDescent="0.2">
      <c r="A283" s="2">
        <v>111</v>
      </c>
      <c r="B283" s="2">
        <v>6</v>
      </c>
      <c r="C283" s="2">
        <v>3</v>
      </c>
      <c r="D283" s="2">
        <v>7000</v>
      </c>
    </row>
    <row r="284" spans="1:4" ht="12.75" x14ac:dyDescent="0.2">
      <c r="A284" s="2">
        <v>111</v>
      </c>
      <c r="B284" s="2">
        <v>6</v>
      </c>
      <c r="C284" s="2">
        <v>1</v>
      </c>
      <c r="D284" s="2">
        <v>7000</v>
      </c>
    </row>
    <row r="285" spans="1:4" ht="12.75" x14ac:dyDescent="0.2">
      <c r="A285" s="2">
        <v>112</v>
      </c>
      <c r="B285" s="2">
        <v>6</v>
      </c>
      <c r="C285" s="2">
        <v>2</v>
      </c>
      <c r="D285" s="2">
        <v>7000</v>
      </c>
    </row>
    <row r="286" spans="1:4" ht="12.75" x14ac:dyDescent="0.2">
      <c r="A286" s="2">
        <v>112</v>
      </c>
      <c r="B286" s="2">
        <v>5</v>
      </c>
      <c r="C286" s="2">
        <v>3</v>
      </c>
      <c r="D286" s="2">
        <v>5000</v>
      </c>
    </row>
    <row r="287" spans="1:4" ht="12.75" x14ac:dyDescent="0.2">
      <c r="A287" s="2">
        <v>113</v>
      </c>
      <c r="B287" s="2">
        <v>4</v>
      </c>
      <c r="C287" s="2">
        <v>3</v>
      </c>
      <c r="D287" s="2">
        <v>12000</v>
      </c>
    </row>
    <row r="288" spans="1:4" ht="12.75" x14ac:dyDescent="0.2">
      <c r="A288" s="2">
        <v>113</v>
      </c>
      <c r="B288" s="2">
        <v>6</v>
      </c>
      <c r="C288" s="2">
        <v>2</v>
      </c>
      <c r="D288" s="2">
        <v>7000</v>
      </c>
    </row>
    <row r="289" spans="1:4" ht="12.75" x14ac:dyDescent="0.2">
      <c r="A289" s="2">
        <v>114</v>
      </c>
      <c r="B289" s="2">
        <v>8</v>
      </c>
      <c r="C289" s="2">
        <v>1</v>
      </c>
      <c r="D289" s="2">
        <v>3000</v>
      </c>
    </row>
    <row r="290" spans="1:4" ht="12.75" x14ac:dyDescent="0.2">
      <c r="A290" s="2">
        <v>114</v>
      </c>
      <c r="B290" s="2">
        <v>6</v>
      </c>
      <c r="C290" s="2">
        <v>2</v>
      </c>
      <c r="D290" s="2">
        <v>7000</v>
      </c>
    </row>
    <row r="291" spans="1:4" ht="12.75" x14ac:dyDescent="0.2">
      <c r="A291" s="2">
        <v>115</v>
      </c>
      <c r="B291" s="2">
        <v>3</v>
      </c>
      <c r="C291" s="2">
        <v>2</v>
      </c>
      <c r="D291" s="2">
        <v>8000</v>
      </c>
    </row>
    <row r="292" spans="1:4" ht="12.75" x14ac:dyDescent="0.2">
      <c r="A292" s="2">
        <v>115</v>
      </c>
      <c r="B292" s="2">
        <v>3</v>
      </c>
      <c r="C292" s="2">
        <v>3</v>
      </c>
      <c r="D292" s="2">
        <v>8000</v>
      </c>
    </row>
    <row r="293" spans="1:4" ht="12.75" x14ac:dyDescent="0.2">
      <c r="A293" s="2">
        <v>115</v>
      </c>
      <c r="B293" s="2">
        <v>4</v>
      </c>
      <c r="C293" s="2">
        <v>1</v>
      </c>
      <c r="D293" s="2">
        <v>12000</v>
      </c>
    </row>
    <row r="294" spans="1:4" ht="12.75" x14ac:dyDescent="0.2">
      <c r="A294" s="2">
        <v>115</v>
      </c>
      <c r="B294" s="2">
        <v>3</v>
      </c>
      <c r="C294" s="2">
        <v>2</v>
      </c>
      <c r="D294" s="2">
        <v>8000</v>
      </c>
    </row>
    <row r="295" spans="1:4" ht="12.75" x14ac:dyDescent="0.2">
      <c r="A295" s="2">
        <v>116</v>
      </c>
      <c r="B295" s="2">
        <v>3</v>
      </c>
      <c r="C295" s="2">
        <v>3</v>
      </c>
      <c r="D295" s="2">
        <v>8000</v>
      </c>
    </row>
    <row r="296" spans="1:4" ht="12.75" x14ac:dyDescent="0.2">
      <c r="A296" s="2">
        <v>116</v>
      </c>
      <c r="B296" s="2">
        <v>5</v>
      </c>
      <c r="C296" s="2">
        <v>2</v>
      </c>
      <c r="D296" s="2">
        <v>5000</v>
      </c>
    </row>
    <row r="297" spans="1:4" ht="12.75" x14ac:dyDescent="0.2">
      <c r="A297" s="2">
        <v>116</v>
      </c>
      <c r="B297" s="2">
        <v>4</v>
      </c>
      <c r="C297" s="2">
        <v>2</v>
      </c>
      <c r="D297" s="2">
        <v>12000</v>
      </c>
    </row>
    <row r="298" spans="1:4" ht="12.75" x14ac:dyDescent="0.2">
      <c r="A298" s="2">
        <v>117</v>
      </c>
      <c r="B298" s="2">
        <v>6</v>
      </c>
      <c r="C298" s="2">
        <v>3</v>
      </c>
      <c r="D298" s="2">
        <v>7000</v>
      </c>
    </row>
    <row r="299" spans="1:4" ht="12.75" x14ac:dyDescent="0.2">
      <c r="A299" s="2">
        <v>117</v>
      </c>
      <c r="B299" s="2">
        <v>2</v>
      </c>
      <c r="C299" s="2">
        <v>1</v>
      </c>
      <c r="D299" s="2">
        <v>60000</v>
      </c>
    </row>
    <row r="300" spans="1:4" ht="12.75" x14ac:dyDescent="0.2">
      <c r="A300" s="2">
        <v>117</v>
      </c>
      <c r="B300" s="2">
        <v>2</v>
      </c>
      <c r="C300" s="2">
        <v>1</v>
      </c>
      <c r="D300" s="2">
        <v>60000</v>
      </c>
    </row>
    <row r="301" spans="1:4" ht="12.75" x14ac:dyDescent="0.2">
      <c r="A301" s="2">
        <v>117</v>
      </c>
      <c r="B301" s="2">
        <v>2</v>
      </c>
      <c r="C301" s="2">
        <v>3</v>
      </c>
      <c r="D301" s="2">
        <v>60000</v>
      </c>
    </row>
    <row r="302" spans="1:4" ht="12.75" x14ac:dyDescent="0.2">
      <c r="A302" s="2">
        <v>118</v>
      </c>
      <c r="B302" s="2">
        <v>3</v>
      </c>
      <c r="C302" s="2">
        <v>3</v>
      </c>
      <c r="D302" s="2">
        <v>8000</v>
      </c>
    </row>
    <row r="303" spans="1:4" ht="12.75" x14ac:dyDescent="0.2">
      <c r="A303" s="2">
        <v>119</v>
      </c>
      <c r="B303" s="2">
        <v>1</v>
      </c>
      <c r="C303" s="2">
        <v>3</v>
      </c>
      <c r="D303" s="2">
        <v>15000</v>
      </c>
    </row>
    <row r="304" spans="1:4" ht="12.75" x14ac:dyDescent="0.2">
      <c r="A304" s="2">
        <v>119</v>
      </c>
      <c r="B304" s="2">
        <v>7</v>
      </c>
      <c r="C304" s="2">
        <v>3</v>
      </c>
      <c r="D304" s="2">
        <v>40000</v>
      </c>
    </row>
    <row r="305" spans="1:4" ht="12.75" x14ac:dyDescent="0.2">
      <c r="A305" s="2">
        <v>119</v>
      </c>
      <c r="B305" s="2">
        <v>7</v>
      </c>
      <c r="C305" s="2">
        <v>3</v>
      </c>
      <c r="D305" s="2">
        <v>40000</v>
      </c>
    </row>
    <row r="306" spans="1:4" ht="12.75" x14ac:dyDescent="0.2">
      <c r="A306" s="2">
        <v>120</v>
      </c>
      <c r="B306" s="2">
        <v>1</v>
      </c>
      <c r="C306" s="2">
        <v>1</v>
      </c>
      <c r="D306" s="2">
        <v>15000</v>
      </c>
    </row>
    <row r="307" spans="1:4" ht="12.75" x14ac:dyDescent="0.2">
      <c r="A307" s="2">
        <v>120</v>
      </c>
      <c r="B307" s="2">
        <v>6</v>
      </c>
      <c r="C307" s="2">
        <v>2</v>
      </c>
      <c r="D307" s="2">
        <v>7000</v>
      </c>
    </row>
    <row r="308" spans="1:4" ht="12.75" x14ac:dyDescent="0.2">
      <c r="A308" s="2">
        <v>121</v>
      </c>
      <c r="B308" s="2">
        <v>6</v>
      </c>
      <c r="C308" s="2">
        <v>1</v>
      </c>
      <c r="D308" s="2">
        <v>7000</v>
      </c>
    </row>
    <row r="309" spans="1:4" ht="12.75" x14ac:dyDescent="0.2">
      <c r="A309" s="2">
        <v>121</v>
      </c>
      <c r="B309" s="2">
        <v>6</v>
      </c>
      <c r="C309" s="2">
        <v>3</v>
      </c>
      <c r="D309" s="2">
        <v>7000</v>
      </c>
    </row>
    <row r="310" spans="1:4" ht="12.75" x14ac:dyDescent="0.2">
      <c r="A310" s="2">
        <v>121</v>
      </c>
      <c r="B310" s="2">
        <v>3</v>
      </c>
      <c r="C310" s="2">
        <v>2</v>
      </c>
      <c r="D310" s="2">
        <v>8000</v>
      </c>
    </row>
    <row r="311" spans="1:4" ht="12.75" x14ac:dyDescent="0.2">
      <c r="A311" s="2">
        <v>121</v>
      </c>
      <c r="B311" s="2">
        <v>7</v>
      </c>
      <c r="C311" s="2">
        <v>2</v>
      </c>
      <c r="D311" s="2">
        <v>40000</v>
      </c>
    </row>
    <row r="312" spans="1:4" ht="12.75" x14ac:dyDescent="0.2">
      <c r="A312" s="2">
        <v>122</v>
      </c>
      <c r="B312" s="2">
        <v>3</v>
      </c>
      <c r="C312" s="2">
        <v>1</v>
      </c>
      <c r="D312" s="2">
        <v>8000</v>
      </c>
    </row>
    <row r="313" spans="1:4" ht="12.75" x14ac:dyDescent="0.2">
      <c r="A313" s="2">
        <v>123</v>
      </c>
      <c r="B313" s="2">
        <v>1</v>
      </c>
      <c r="C313" s="2">
        <v>3</v>
      </c>
      <c r="D313" s="2">
        <v>15000</v>
      </c>
    </row>
    <row r="314" spans="1:4" ht="12.75" x14ac:dyDescent="0.2">
      <c r="A314" s="2">
        <v>123</v>
      </c>
      <c r="B314" s="2">
        <v>2</v>
      </c>
      <c r="C314" s="2">
        <v>3</v>
      </c>
      <c r="D314" s="2">
        <v>60000</v>
      </c>
    </row>
    <row r="315" spans="1:4" ht="12.75" x14ac:dyDescent="0.2">
      <c r="A315" s="2">
        <v>123</v>
      </c>
      <c r="B315" s="2">
        <v>2</v>
      </c>
      <c r="C315" s="2">
        <v>2</v>
      </c>
      <c r="D315" s="2">
        <v>60000</v>
      </c>
    </row>
    <row r="316" spans="1:4" ht="12.75" x14ac:dyDescent="0.2">
      <c r="A316" s="2">
        <v>124</v>
      </c>
      <c r="B316" s="2">
        <v>3</v>
      </c>
      <c r="C316" s="2">
        <v>2</v>
      </c>
      <c r="D316" s="2">
        <v>8000</v>
      </c>
    </row>
    <row r="317" spans="1:4" ht="12.75" x14ac:dyDescent="0.2">
      <c r="A317" s="2">
        <v>124</v>
      </c>
      <c r="B317" s="2">
        <v>6</v>
      </c>
      <c r="C317" s="2">
        <v>1</v>
      </c>
      <c r="D317" s="2">
        <v>7000</v>
      </c>
    </row>
    <row r="318" spans="1:4" ht="12.75" x14ac:dyDescent="0.2">
      <c r="A318" s="2">
        <v>124</v>
      </c>
      <c r="B318" s="2">
        <v>7</v>
      </c>
      <c r="C318" s="2">
        <v>3</v>
      </c>
      <c r="D318" s="2">
        <v>40000</v>
      </c>
    </row>
    <row r="319" spans="1:4" ht="12.75" x14ac:dyDescent="0.2">
      <c r="A319" s="2">
        <v>125</v>
      </c>
      <c r="B319" s="2">
        <v>3</v>
      </c>
      <c r="C319" s="2">
        <v>1</v>
      </c>
      <c r="D319" s="2">
        <v>8000</v>
      </c>
    </row>
    <row r="320" spans="1:4" ht="12.75" x14ac:dyDescent="0.2">
      <c r="A320" s="2">
        <v>125</v>
      </c>
      <c r="B320" s="2">
        <v>2</v>
      </c>
      <c r="C320" s="2">
        <v>1</v>
      </c>
      <c r="D320" s="2">
        <v>60000</v>
      </c>
    </row>
    <row r="321" spans="1:4" ht="12.75" x14ac:dyDescent="0.2">
      <c r="A321" s="2">
        <v>126</v>
      </c>
      <c r="B321" s="2">
        <v>6</v>
      </c>
      <c r="C321" s="2">
        <v>2</v>
      </c>
      <c r="D321" s="2">
        <v>7000</v>
      </c>
    </row>
    <row r="322" spans="1:4" ht="12.75" x14ac:dyDescent="0.2">
      <c r="A322" s="2">
        <v>126</v>
      </c>
      <c r="B322" s="2">
        <v>7</v>
      </c>
      <c r="C322" s="2">
        <v>1</v>
      </c>
      <c r="D322" s="2">
        <v>40000</v>
      </c>
    </row>
    <row r="323" spans="1:4" ht="12.75" x14ac:dyDescent="0.2">
      <c r="A323" s="2">
        <v>127</v>
      </c>
      <c r="B323" s="2">
        <v>7</v>
      </c>
      <c r="C323" s="2">
        <v>3</v>
      </c>
      <c r="D323" s="2">
        <v>40000</v>
      </c>
    </row>
    <row r="324" spans="1:4" ht="12.75" x14ac:dyDescent="0.2">
      <c r="A324" s="2">
        <v>127</v>
      </c>
      <c r="B324" s="2">
        <v>8</v>
      </c>
      <c r="C324" s="2">
        <v>3</v>
      </c>
      <c r="D324" s="2">
        <v>3000</v>
      </c>
    </row>
    <row r="325" spans="1:4" ht="12.75" x14ac:dyDescent="0.2">
      <c r="A325" s="2">
        <v>128</v>
      </c>
      <c r="B325" s="2">
        <v>1</v>
      </c>
      <c r="C325" s="2">
        <v>3</v>
      </c>
      <c r="D325" s="2">
        <v>15000</v>
      </c>
    </row>
    <row r="326" spans="1:4" ht="12.75" x14ac:dyDescent="0.2">
      <c r="A326" s="2">
        <v>128</v>
      </c>
      <c r="B326" s="2">
        <v>3</v>
      </c>
      <c r="C326" s="2">
        <v>3</v>
      </c>
      <c r="D326" s="2">
        <v>8000</v>
      </c>
    </row>
    <row r="327" spans="1:4" ht="12.75" x14ac:dyDescent="0.2">
      <c r="A327" s="2">
        <v>128</v>
      </c>
      <c r="B327" s="2">
        <v>8</v>
      </c>
      <c r="C327" s="2">
        <v>1</v>
      </c>
      <c r="D327" s="2">
        <v>3000</v>
      </c>
    </row>
    <row r="328" spans="1:4" ht="12.75" x14ac:dyDescent="0.2">
      <c r="A328" s="2">
        <v>128</v>
      </c>
      <c r="B328" s="2">
        <v>7</v>
      </c>
      <c r="C328" s="2">
        <v>2</v>
      </c>
      <c r="D328" s="2">
        <v>40000</v>
      </c>
    </row>
    <row r="329" spans="1:4" ht="12.75" x14ac:dyDescent="0.2">
      <c r="A329" s="2">
        <v>129</v>
      </c>
      <c r="B329" s="2">
        <v>1</v>
      </c>
      <c r="C329" s="2">
        <v>3</v>
      </c>
      <c r="D329" s="2">
        <v>15000</v>
      </c>
    </row>
    <row r="330" spans="1:4" ht="12.75" x14ac:dyDescent="0.2">
      <c r="A330" s="2">
        <v>129</v>
      </c>
      <c r="B330" s="2">
        <v>4</v>
      </c>
      <c r="C330" s="2">
        <v>3</v>
      </c>
      <c r="D330" s="2">
        <v>12000</v>
      </c>
    </row>
    <row r="331" spans="1:4" ht="12.75" x14ac:dyDescent="0.2">
      <c r="A331" s="2">
        <v>129</v>
      </c>
      <c r="B331" s="2">
        <v>6</v>
      </c>
      <c r="C331" s="2">
        <v>1</v>
      </c>
      <c r="D331" s="2">
        <v>7000</v>
      </c>
    </row>
    <row r="332" spans="1:4" ht="12.75" x14ac:dyDescent="0.2">
      <c r="A332" s="2">
        <v>129</v>
      </c>
      <c r="B332" s="2">
        <v>5</v>
      </c>
      <c r="C332" s="2">
        <v>1</v>
      </c>
      <c r="D332" s="2">
        <v>5000</v>
      </c>
    </row>
    <row r="333" spans="1:4" ht="12.75" x14ac:dyDescent="0.2">
      <c r="A333" s="2">
        <v>130</v>
      </c>
      <c r="B333" s="2">
        <v>5</v>
      </c>
      <c r="C333" s="2">
        <v>2</v>
      </c>
      <c r="D333" s="2">
        <v>5000</v>
      </c>
    </row>
    <row r="334" spans="1:4" ht="12.75" x14ac:dyDescent="0.2">
      <c r="A334" s="2">
        <v>131</v>
      </c>
      <c r="B334" s="2">
        <v>7</v>
      </c>
      <c r="C334" s="2">
        <v>3</v>
      </c>
      <c r="D334" s="2">
        <v>40000</v>
      </c>
    </row>
    <row r="335" spans="1:4" ht="12.75" x14ac:dyDescent="0.2">
      <c r="A335" s="2">
        <v>131</v>
      </c>
      <c r="B335" s="2">
        <v>7</v>
      </c>
      <c r="C335" s="2">
        <v>1</v>
      </c>
      <c r="D335" s="2">
        <v>40000</v>
      </c>
    </row>
    <row r="336" spans="1:4" ht="12.75" x14ac:dyDescent="0.2">
      <c r="A336" s="2">
        <v>132</v>
      </c>
      <c r="B336" s="2">
        <v>7</v>
      </c>
      <c r="C336" s="2">
        <v>1</v>
      </c>
      <c r="D336" s="2">
        <v>40000</v>
      </c>
    </row>
    <row r="337" spans="1:4" ht="12.75" x14ac:dyDescent="0.2">
      <c r="A337" s="2">
        <v>132</v>
      </c>
      <c r="B337" s="2">
        <v>8</v>
      </c>
      <c r="C337" s="2">
        <v>2</v>
      </c>
      <c r="D337" s="2">
        <v>3000</v>
      </c>
    </row>
    <row r="338" spans="1:4" ht="12.75" x14ac:dyDescent="0.2">
      <c r="A338" s="2">
        <v>132</v>
      </c>
      <c r="B338" s="2">
        <v>7</v>
      </c>
      <c r="C338" s="2">
        <v>1</v>
      </c>
      <c r="D338" s="2">
        <v>40000</v>
      </c>
    </row>
    <row r="339" spans="1:4" ht="12.75" x14ac:dyDescent="0.2">
      <c r="A339" s="2">
        <v>132</v>
      </c>
      <c r="B339" s="2">
        <v>5</v>
      </c>
      <c r="C339" s="2">
        <v>1</v>
      </c>
      <c r="D339" s="2">
        <v>5000</v>
      </c>
    </row>
    <row r="340" spans="1:4" ht="12.75" x14ac:dyDescent="0.2">
      <c r="A340" s="2">
        <v>133</v>
      </c>
      <c r="B340" s="2">
        <v>6</v>
      </c>
      <c r="C340" s="2">
        <v>3</v>
      </c>
      <c r="D340" s="2">
        <v>7000</v>
      </c>
    </row>
    <row r="341" spans="1:4" ht="12.75" x14ac:dyDescent="0.2">
      <c r="A341" s="2">
        <v>134</v>
      </c>
      <c r="B341" s="2">
        <v>7</v>
      </c>
      <c r="C341" s="2">
        <v>1</v>
      </c>
      <c r="D341" s="2">
        <v>40000</v>
      </c>
    </row>
    <row r="342" spans="1:4" ht="12.75" x14ac:dyDescent="0.2">
      <c r="A342" s="2">
        <v>134</v>
      </c>
      <c r="B342" s="2">
        <v>8</v>
      </c>
      <c r="C342" s="2">
        <v>1</v>
      </c>
      <c r="D342" s="2">
        <v>3000</v>
      </c>
    </row>
    <row r="343" spans="1:4" ht="12.75" x14ac:dyDescent="0.2">
      <c r="A343" s="2">
        <v>134</v>
      </c>
      <c r="B343" s="2">
        <v>4</v>
      </c>
      <c r="C343" s="2">
        <v>2</v>
      </c>
      <c r="D343" s="2">
        <v>12000</v>
      </c>
    </row>
    <row r="344" spans="1:4" ht="12.75" x14ac:dyDescent="0.2">
      <c r="A344" s="2">
        <v>134</v>
      </c>
      <c r="B344" s="2">
        <v>7</v>
      </c>
      <c r="C344" s="2">
        <v>3</v>
      </c>
      <c r="D344" s="2">
        <v>40000</v>
      </c>
    </row>
    <row r="345" spans="1:4" ht="12.75" x14ac:dyDescent="0.2">
      <c r="A345" s="2">
        <v>135</v>
      </c>
      <c r="B345" s="2">
        <v>2</v>
      </c>
      <c r="C345" s="2">
        <v>2</v>
      </c>
      <c r="D345" s="2">
        <v>60000</v>
      </c>
    </row>
    <row r="346" spans="1:4" ht="12.75" x14ac:dyDescent="0.2">
      <c r="A346" s="2">
        <v>135</v>
      </c>
      <c r="B346" s="2">
        <v>5</v>
      </c>
      <c r="C346" s="2">
        <v>3</v>
      </c>
      <c r="D346" s="2">
        <v>5000</v>
      </c>
    </row>
    <row r="347" spans="1:4" ht="12.75" x14ac:dyDescent="0.2">
      <c r="A347" s="2">
        <v>135</v>
      </c>
      <c r="B347" s="2">
        <v>3</v>
      </c>
      <c r="C347" s="2">
        <v>1</v>
      </c>
      <c r="D347" s="2">
        <v>8000</v>
      </c>
    </row>
    <row r="348" spans="1:4" ht="12.75" x14ac:dyDescent="0.2">
      <c r="A348" s="2">
        <v>136</v>
      </c>
      <c r="B348" s="2">
        <v>3</v>
      </c>
      <c r="C348" s="2">
        <v>2</v>
      </c>
      <c r="D348" s="2">
        <v>8000</v>
      </c>
    </row>
    <row r="349" spans="1:4" ht="12.75" x14ac:dyDescent="0.2">
      <c r="A349" s="2">
        <v>136</v>
      </c>
      <c r="B349" s="2">
        <v>6</v>
      </c>
      <c r="C349" s="2">
        <v>2</v>
      </c>
      <c r="D349" s="2">
        <v>7000</v>
      </c>
    </row>
    <row r="350" spans="1:4" ht="12.75" x14ac:dyDescent="0.2">
      <c r="A350" s="2">
        <v>136</v>
      </c>
      <c r="B350" s="2">
        <v>3</v>
      </c>
      <c r="C350" s="2">
        <v>2</v>
      </c>
      <c r="D350" s="2">
        <v>8000</v>
      </c>
    </row>
    <row r="351" spans="1:4" ht="12.75" x14ac:dyDescent="0.2">
      <c r="A351" s="2">
        <v>136</v>
      </c>
      <c r="B351" s="2">
        <v>7</v>
      </c>
      <c r="C351" s="2">
        <v>2</v>
      </c>
      <c r="D351" s="2">
        <v>40000</v>
      </c>
    </row>
    <row r="352" spans="1:4" ht="12.75" x14ac:dyDescent="0.2">
      <c r="A352" s="2">
        <v>137</v>
      </c>
      <c r="B352" s="2">
        <v>7</v>
      </c>
      <c r="C352" s="2">
        <v>2</v>
      </c>
      <c r="D352" s="2">
        <v>40000</v>
      </c>
    </row>
    <row r="353" spans="1:4" ht="12.75" x14ac:dyDescent="0.2">
      <c r="A353" s="2">
        <v>137</v>
      </c>
      <c r="B353" s="2">
        <v>6</v>
      </c>
      <c r="C353" s="2">
        <v>3</v>
      </c>
      <c r="D353" s="2">
        <v>7000</v>
      </c>
    </row>
    <row r="354" spans="1:4" ht="12.75" x14ac:dyDescent="0.2">
      <c r="A354" s="2">
        <v>137</v>
      </c>
      <c r="B354" s="2">
        <v>7</v>
      </c>
      <c r="C354" s="2">
        <v>1</v>
      </c>
      <c r="D354" s="2">
        <v>40000</v>
      </c>
    </row>
    <row r="355" spans="1:4" ht="12.75" x14ac:dyDescent="0.2">
      <c r="A355" s="2">
        <v>137</v>
      </c>
      <c r="B355" s="2">
        <v>5</v>
      </c>
      <c r="C355" s="2">
        <v>2</v>
      </c>
      <c r="D355" s="2">
        <v>5000</v>
      </c>
    </row>
    <row r="356" spans="1:4" ht="12.75" x14ac:dyDescent="0.2">
      <c r="A356" s="2">
        <v>138</v>
      </c>
      <c r="B356" s="2">
        <v>7</v>
      </c>
      <c r="C356" s="2">
        <v>2</v>
      </c>
      <c r="D356" s="2">
        <v>40000</v>
      </c>
    </row>
    <row r="357" spans="1:4" ht="12.75" x14ac:dyDescent="0.2">
      <c r="A357" s="2">
        <v>138</v>
      </c>
      <c r="B357" s="2">
        <v>8</v>
      </c>
      <c r="C357" s="2">
        <v>1</v>
      </c>
      <c r="D357" s="2">
        <v>3000</v>
      </c>
    </row>
    <row r="358" spans="1:4" ht="12.75" x14ac:dyDescent="0.2">
      <c r="A358" s="2">
        <v>139</v>
      </c>
      <c r="B358" s="2">
        <v>6</v>
      </c>
      <c r="C358" s="2">
        <v>3</v>
      </c>
      <c r="D358" s="2">
        <v>7000</v>
      </c>
    </row>
    <row r="359" spans="1:4" ht="12.75" x14ac:dyDescent="0.2">
      <c r="A359" s="2">
        <v>140</v>
      </c>
      <c r="B359" s="2">
        <v>5</v>
      </c>
      <c r="C359" s="2">
        <v>3</v>
      </c>
      <c r="D359" s="2">
        <v>5000</v>
      </c>
    </row>
    <row r="360" spans="1:4" ht="12.75" x14ac:dyDescent="0.2">
      <c r="A360" s="2">
        <v>140</v>
      </c>
      <c r="B360" s="2">
        <v>5</v>
      </c>
      <c r="C360" s="2">
        <v>2</v>
      </c>
      <c r="D360" s="2">
        <v>5000</v>
      </c>
    </row>
    <row r="361" spans="1:4" ht="12.75" x14ac:dyDescent="0.2">
      <c r="A361" s="2">
        <v>140</v>
      </c>
      <c r="B361" s="2">
        <v>4</v>
      </c>
      <c r="C361" s="2">
        <v>2</v>
      </c>
      <c r="D361" s="2">
        <v>12000</v>
      </c>
    </row>
    <row r="362" spans="1:4" ht="12.75" x14ac:dyDescent="0.2">
      <c r="A362" s="2">
        <v>140</v>
      </c>
      <c r="B362" s="2">
        <v>5</v>
      </c>
      <c r="C362" s="2">
        <v>3</v>
      </c>
      <c r="D362" s="2">
        <v>5000</v>
      </c>
    </row>
    <row r="363" spans="1:4" ht="12.75" x14ac:dyDescent="0.2">
      <c r="A363" s="2">
        <v>141</v>
      </c>
      <c r="B363" s="2">
        <v>5</v>
      </c>
      <c r="C363" s="2">
        <v>3</v>
      </c>
      <c r="D363" s="2">
        <v>5000</v>
      </c>
    </row>
    <row r="364" spans="1:4" ht="12.75" x14ac:dyDescent="0.2">
      <c r="A364" s="2">
        <v>141</v>
      </c>
      <c r="B364" s="2">
        <v>5</v>
      </c>
      <c r="C364" s="2">
        <v>3</v>
      </c>
      <c r="D364" s="2">
        <v>5000</v>
      </c>
    </row>
    <row r="365" spans="1:4" ht="12.75" x14ac:dyDescent="0.2">
      <c r="A365" s="2">
        <v>141</v>
      </c>
      <c r="B365" s="2">
        <v>6</v>
      </c>
      <c r="C365" s="2">
        <v>3</v>
      </c>
      <c r="D365" s="2">
        <v>7000</v>
      </c>
    </row>
    <row r="366" spans="1:4" ht="12.75" x14ac:dyDescent="0.2">
      <c r="A366" s="2">
        <v>142</v>
      </c>
      <c r="B366" s="2">
        <v>5</v>
      </c>
      <c r="C366" s="2">
        <v>1</v>
      </c>
      <c r="D366" s="2">
        <v>5000</v>
      </c>
    </row>
    <row r="367" spans="1:4" ht="12.75" x14ac:dyDescent="0.2">
      <c r="A367" s="2">
        <v>142</v>
      </c>
      <c r="B367" s="2">
        <v>1</v>
      </c>
      <c r="C367" s="2">
        <v>2</v>
      </c>
      <c r="D367" s="2">
        <v>15000</v>
      </c>
    </row>
    <row r="368" spans="1:4" ht="12.75" x14ac:dyDescent="0.2">
      <c r="A368" s="2">
        <v>142</v>
      </c>
      <c r="B368" s="2">
        <v>1</v>
      </c>
      <c r="C368" s="2">
        <v>1</v>
      </c>
      <c r="D368" s="2">
        <v>15000</v>
      </c>
    </row>
    <row r="369" spans="1:4" ht="12.75" x14ac:dyDescent="0.2">
      <c r="A369" s="2">
        <v>143</v>
      </c>
      <c r="B369" s="2">
        <v>3</v>
      </c>
      <c r="C369" s="2">
        <v>3</v>
      </c>
      <c r="D369" s="2">
        <v>8000</v>
      </c>
    </row>
    <row r="370" spans="1:4" ht="12.75" x14ac:dyDescent="0.2">
      <c r="A370" s="2">
        <v>143</v>
      </c>
      <c r="B370" s="2">
        <v>8</v>
      </c>
      <c r="C370" s="2">
        <v>3</v>
      </c>
      <c r="D370" s="2">
        <v>3000</v>
      </c>
    </row>
    <row r="371" spans="1:4" ht="12.75" x14ac:dyDescent="0.2">
      <c r="A371" s="2">
        <v>144</v>
      </c>
      <c r="B371" s="2">
        <v>5</v>
      </c>
      <c r="C371" s="2">
        <v>3</v>
      </c>
      <c r="D371" s="2">
        <v>5000</v>
      </c>
    </row>
    <row r="372" spans="1:4" ht="12.75" x14ac:dyDescent="0.2">
      <c r="A372" s="2">
        <v>144</v>
      </c>
      <c r="B372" s="2">
        <v>6</v>
      </c>
      <c r="C372" s="2">
        <v>1</v>
      </c>
      <c r="D372" s="2">
        <v>7000</v>
      </c>
    </row>
    <row r="373" spans="1:4" ht="12.75" x14ac:dyDescent="0.2">
      <c r="A373" s="2">
        <v>144</v>
      </c>
      <c r="B373" s="2">
        <v>3</v>
      </c>
      <c r="C373" s="2">
        <v>1</v>
      </c>
      <c r="D373" s="2">
        <v>8000</v>
      </c>
    </row>
    <row r="374" spans="1:4" ht="12.75" x14ac:dyDescent="0.2">
      <c r="A374" s="2">
        <v>145</v>
      </c>
      <c r="B374" s="2">
        <v>4</v>
      </c>
      <c r="C374" s="2">
        <v>1</v>
      </c>
      <c r="D374" s="2">
        <v>12000</v>
      </c>
    </row>
    <row r="375" spans="1:4" ht="12.75" x14ac:dyDescent="0.2">
      <c r="A375" s="2">
        <v>145</v>
      </c>
      <c r="B375" s="2">
        <v>7</v>
      </c>
      <c r="C375" s="2">
        <v>3</v>
      </c>
      <c r="D375" s="2">
        <v>40000</v>
      </c>
    </row>
    <row r="376" spans="1:4" ht="12.75" x14ac:dyDescent="0.2">
      <c r="A376" s="2">
        <v>146</v>
      </c>
      <c r="B376" s="2">
        <v>3</v>
      </c>
      <c r="C376" s="2">
        <v>2</v>
      </c>
      <c r="D376" s="2">
        <v>8000</v>
      </c>
    </row>
    <row r="377" spans="1:4" ht="12.75" x14ac:dyDescent="0.2">
      <c r="A377" s="2">
        <v>146</v>
      </c>
      <c r="B377" s="2">
        <v>5</v>
      </c>
      <c r="C377" s="2">
        <v>3</v>
      </c>
      <c r="D377" s="2">
        <v>5000</v>
      </c>
    </row>
    <row r="378" spans="1:4" ht="12.75" x14ac:dyDescent="0.2">
      <c r="A378" s="2">
        <v>146</v>
      </c>
      <c r="B378" s="2">
        <v>6</v>
      </c>
      <c r="C378" s="2">
        <v>3</v>
      </c>
      <c r="D378" s="2">
        <v>7000</v>
      </c>
    </row>
    <row r="379" spans="1:4" ht="12.75" x14ac:dyDescent="0.2">
      <c r="A379" s="2">
        <v>146</v>
      </c>
      <c r="B379" s="2">
        <v>2</v>
      </c>
      <c r="C379" s="2">
        <v>1</v>
      </c>
      <c r="D379" s="2">
        <v>60000</v>
      </c>
    </row>
    <row r="380" spans="1:4" ht="12.75" x14ac:dyDescent="0.2">
      <c r="A380" s="2">
        <v>147</v>
      </c>
      <c r="B380" s="2">
        <v>4</v>
      </c>
      <c r="C380" s="2">
        <v>2</v>
      </c>
      <c r="D380" s="2">
        <v>12000</v>
      </c>
    </row>
    <row r="381" spans="1:4" ht="12.75" x14ac:dyDescent="0.2">
      <c r="A381" s="2">
        <v>147</v>
      </c>
      <c r="B381" s="2">
        <v>3</v>
      </c>
      <c r="C381" s="2">
        <v>3</v>
      </c>
      <c r="D381" s="2">
        <v>8000</v>
      </c>
    </row>
    <row r="382" spans="1:4" ht="12.75" x14ac:dyDescent="0.2">
      <c r="A382" s="2">
        <v>148</v>
      </c>
      <c r="B382" s="2">
        <v>2</v>
      </c>
      <c r="C382" s="2">
        <v>2</v>
      </c>
      <c r="D382" s="2">
        <v>60000</v>
      </c>
    </row>
    <row r="383" spans="1:4" ht="12.75" x14ac:dyDescent="0.2">
      <c r="A383" s="2">
        <v>148</v>
      </c>
      <c r="B383" s="2">
        <v>2</v>
      </c>
      <c r="C383" s="2">
        <v>3</v>
      </c>
      <c r="D383" s="2">
        <v>60000</v>
      </c>
    </row>
    <row r="384" spans="1:4" ht="12.75" x14ac:dyDescent="0.2">
      <c r="A384" s="2">
        <v>148</v>
      </c>
      <c r="B384" s="2">
        <v>6</v>
      </c>
      <c r="C384" s="2">
        <v>2</v>
      </c>
      <c r="D384" s="2">
        <v>7000</v>
      </c>
    </row>
    <row r="385" spans="1:4" ht="12.75" x14ac:dyDescent="0.2">
      <c r="A385" s="2">
        <v>148</v>
      </c>
      <c r="B385" s="2">
        <v>6</v>
      </c>
      <c r="C385" s="2">
        <v>2</v>
      </c>
      <c r="D385" s="2">
        <v>7000</v>
      </c>
    </row>
    <row r="386" spans="1:4" ht="12.75" x14ac:dyDescent="0.2">
      <c r="A386" s="2">
        <v>149</v>
      </c>
      <c r="B386" s="2">
        <v>2</v>
      </c>
      <c r="C386" s="2">
        <v>1</v>
      </c>
      <c r="D386" s="2">
        <v>60000</v>
      </c>
    </row>
    <row r="387" spans="1:4" ht="12.75" x14ac:dyDescent="0.2">
      <c r="A387" s="2">
        <v>149</v>
      </c>
      <c r="B387" s="2">
        <v>1</v>
      </c>
      <c r="C387" s="2">
        <v>1</v>
      </c>
      <c r="D387" s="2">
        <v>15000</v>
      </c>
    </row>
    <row r="388" spans="1:4" ht="12.75" x14ac:dyDescent="0.2">
      <c r="A388" s="2">
        <v>149</v>
      </c>
      <c r="B388" s="2">
        <v>1</v>
      </c>
      <c r="C388" s="2">
        <v>2</v>
      </c>
      <c r="D388" s="2">
        <v>15000</v>
      </c>
    </row>
    <row r="389" spans="1:4" ht="12.75" x14ac:dyDescent="0.2">
      <c r="A389" s="2">
        <v>149</v>
      </c>
      <c r="B389" s="2">
        <v>5</v>
      </c>
      <c r="C389" s="2">
        <v>3</v>
      </c>
      <c r="D389" s="2">
        <v>5000</v>
      </c>
    </row>
    <row r="390" spans="1:4" ht="12.75" x14ac:dyDescent="0.2">
      <c r="A390" s="2">
        <v>150</v>
      </c>
      <c r="B390" s="2">
        <v>5</v>
      </c>
      <c r="C390" s="2">
        <v>2</v>
      </c>
      <c r="D390" s="2">
        <v>5000</v>
      </c>
    </row>
    <row r="391" spans="1:4" ht="12.75" x14ac:dyDescent="0.2">
      <c r="A391" s="2">
        <v>150</v>
      </c>
      <c r="B391" s="2">
        <v>7</v>
      </c>
      <c r="C391" s="2">
        <v>2</v>
      </c>
      <c r="D391" s="2">
        <v>40000</v>
      </c>
    </row>
    <row r="392" spans="1:4" ht="12.75" x14ac:dyDescent="0.2">
      <c r="A392" s="2">
        <v>150</v>
      </c>
      <c r="B392" s="2">
        <v>4</v>
      </c>
      <c r="C392" s="2">
        <v>2</v>
      </c>
      <c r="D392" s="2">
        <v>12000</v>
      </c>
    </row>
    <row r="393" spans="1:4" ht="12.75" x14ac:dyDescent="0.2">
      <c r="A393" s="2">
        <v>150</v>
      </c>
      <c r="B393" s="2">
        <v>6</v>
      </c>
      <c r="C393" s="2">
        <v>1</v>
      </c>
      <c r="D393" s="2">
        <v>7000</v>
      </c>
    </row>
    <row r="394" spans="1:4" ht="12.75" x14ac:dyDescent="0.2">
      <c r="A394" s="2">
        <v>151</v>
      </c>
      <c r="B394" s="2">
        <v>8</v>
      </c>
      <c r="C394" s="2">
        <v>1</v>
      </c>
      <c r="D394" s="2">
        <v>3000</v>
      </c>
    </row>
    <row r="395" spans="1:4" ht="12.75" x14ac:dyDescent="0.2">
      <c r="A395" s="2">
        <v>151</v>
      </c>
      <c r="B395" s="2">
        <v>5</v>
      </c>
      <c r="C395" s="2">
        <v>1</v>
      </c>
      <c r="D395" s="2">
        <v>5000</v>
      </c>
    </row>
    <row r="396" spans="1:4" ht="12.75" x14ac:dyDescent="0.2">
      <c r="A396" s="2">
        <v>152</v>
      </c>
      <c r="B396" s="2">
        <v>4</v>
      </c>
      <c r="C396" s="2">
        <v>3</v>
      </c>
      <c r="D396" s="2">
        <v>12000</v>
      </c>
    </row>
    <row r="397" spans="1:4" ht="12.75" x14ac:dyDescent="0.2">
      <c r="A397" s="2">
        <v>153</v>
      </c>
      <c r="B397" s="2">
        <v>1</v>
      </c>
      <c r="C397" s="2">
        <v>1</v>
      </c>
      <c r="D397" s="2">
        <v>15000</v>
      </c>
    </row>
    <row r="398" spans="1:4" ht="12.75" x14ac:dyDescent="0.2">
      <c r="A398" s="2">
        <v>153</v>
      </c>
      <c r="B398" s="2">
        <v>8</v>
      </c>
      <c r="C398" s="2">
        <v>2</v>
      </c>
      <c r="D398" s="2">
        <v>3000</v>
      </c>
    </row>
    <row r="399" spans="1:4" ht="12.75" x14ac:dyDescent="0.2">
      <c r="A399" s="2">
        <v>153</v>
      </c>
      <c r="B399" s="2">
        <v>4</v>
      </c>
      <c r="C399" s="2">
        <v>1</v>
      </c>
      <c r="D399" s="2">
        <v>12000</v>
      </c>
    </row>
    <row r="400" spans="1:4" ht="12.75" x14ac:dyDescent="0.2">
      <c r="A400" s="2">
        <v>154</v>
      </c>
      <c r="B400" s="2">
        <v>7</v>
      </c>
      <c r="C400" s="2">
        <v>2</v>
      </c>
      <c r="D400" s="2">
        <v>40000</v>
      </c>
    </row>
    <row r="401" spans="1:4" ht="12.75" x14ac:dyDescent="0.2">
      <c r="A401" s="2">
        <v>154</v>
      </c>
      <c r="B401" s="2">
        <v>3</v>
      </c>
      <c r="C401" s="2">
        <v>1</v>
      </c>
      <c r="D401" s="2">
        <v>8000</v>
      </c>
    </row>
    <row r="402" spans="1:4" ht="12.75" x14ac:dyDescent="0.2">
      <c r="A402" s="2">
        <v>155</v>
      </c>
      <c r="B402" s="2">
        <v>3</v>
      </c>
      <c r="C402" s="2">
        <v>1</v>
      </c>
      <c r="D402" s="2">
        <v>8000</v>
      </c>
    </row>
    <row r="403" spans="1:4" ht="12.75" x14ac:dyDescent="0.2">
      <c r="A403" s="2">
        <v>155</v>
      </c>
      <c r="B403" s="2">
        <v>4</v>
      </c>
      <c r="C403" s="2">
        <v>3</v>
      </c>
      <c r="D403" s="2">
        <v>12000</v>
      </c>
    </row>
    <row r="404" spans="1:4" ht="12.75" x14ac:dyDescent="0.2">
      <c r="A404" s="2">
        <v>156</v>
      </c>
      <c r="B404" s="2">
        <v>5</v>
      </c>
      <c r="C404" s="2">
        <v>3</v>
      </c>
      <c r="D404" s="2">
        <v>5000</v>
      </c>
    </row>
    <row r="405" spans="1:4" ht="12.75" x14ac:dyDescent="0.2">
      <c r="A405" s="2">
        <v>156</v>
      </c>
      <c r="B405" s="2">
        <v>8</v>
      </c>
      <c r="C405" s="2">
        <v>2</v>
      </c>
      <c r="D405" s="2">
        <v>3000</v>
      </c>
    </row>
    <row r="406" spans="1:4" ht="12.75" x14ac:dyDescent="0.2">
      <c r="A406" s="2">
        <v>156</v>
      </c>
      <c r="B406" s="2">
        <v>2</v>
      </c>
      <c r="C406" s="2">
        <v>1</v>
      </c>
      <c r="D406" s="2">
        <v>60000</v>
      </c>
    </row>
    <row r="407" spans="1:4" ht="12.75" x14ac:dyDescent="0.2">
      <c r="A407" s="2">
        <v>156</v>
      </c>
      <c r="B407" s="2">
        <v>2</v>
      </c>
      <c r="C407" s="2">
        <v>2</v>
      </c>
      <c r="D407" s="2">
        <v>60000</v>
      </c>
    </row>
    <row r="408" spans="1:4" ht="12.75" x14ac:dyDescent="0.2">
      <c r="A408" s="2">
        <v>157</v>
      </c>
      <c r="B408" s="2">
        <v>7</v>
      </c>
      <c r="C408" s="2">
        <v>3</v>
      </c>
      <c r="D408" s="2">
        <v>40000</v>
      </c>
    </row>
    <row r="409" spans="1:4" ht="12.75" x14ac:dyDescent="0.2">
      <c r="A409" s="2">
        <v>157</v>
      </c>
      <c r="B409" s="2">
        <v>6</v>
      </c>
      <c r="C409" s="2">
        <v>1</v>
      </c>
      <c r="D409" s="2">
        <v>7000</v>
      </c>
    </row>
    <row r="410" spans="1:4" ht="12.75" x14ac:dyDescent="0.2">
      <c r="A410" s="2">
        <v>157</v>
      </c>
      <c r="B410" s="2">
        <v>8</v>
      </c>
      <c r="C410" s="2">
        <v>2</v>
      </c>
      <c r="D410" s="2">
        <v>3000</v>
      </c>
    </row>
    <row r="411" spans="1:4" ht="12.75" x14ac:dyDescent="0.2">
      <c r="A411" s="2">
        <v>157</v>
      </c>
      <c r="B411" s="2">
        <v>4</v>
      </c>
      <c r="C411" s="2">
        <v>1</v>
      </c>
      <c r="D411" s="2">
        <v>12000</v>
      </c>
    </row>
    <row r="412" spans="1:4" ht="12.75" x14ac:dyDescent="0.2">
      <c r="A412" s="2">
        <v>158</v>
      </c>
      <c r="B412" s="2">
        <v>6</v>
      </c>
      <c r="C412" s="2">
        <v>3</v>
      </c>
      <c r="D412" s="2">
        <v>7000</v>
      </c>
    </row>
    <row r="413" spans="1:4" ht="12.75" x14ac:dyDescent="0.2">
      <c r="A413" s="2">
        <v>159</v>
      </c>
      <c r="B413" s="2">
        <v>5</v>
      </c>
      <c r="C413" s="2">
        <v>1</v>
      </c>
      <c r="D413" s="2">
        <v>5000</v>
      </c>
    </row>
    <row r="414" spans="1:4" ht="12.75" x14ac:dyDescent="0.2">
      <c r="A414" s="2">
        <v>160</v>
      </c>
      <c r="B414" s="2">
        <v>1</v>
      </c>
      <c r="C414" s="2">
        <v>3</v>
      </c>
      <c r="D414" s="2">
        <v>15000</v>
      </c>
    </row>
    <row r="415" spans="1:4" ht="12.75" x14ac:dyDescent="0.2">
      <c r="A415" s="2">
        <v>160</v>
      </c>
      <c r="B415" s="2">
        <v>2</v>
      </c>
      <c r="C415" s="2">
        <v>3</v>
      </c>
      <c r="D415" s="2">
        <v>60000</v>
      </c>
    </row>
    <row r="416" spans="1:4" ht="12.75" x14ac:dyDescent="0.2">
      <c r="A416" s="2">
        <v>160</v>
      </c>
      <c r="B416" s="2">
        <v>7</v>
      </c>
      <c r="C416" s="2">
        <v>2</v>
      </c>
      <c r="D416" s="2">
        <v>40000</v>
      </c>
    </row>
    <row r="417" spans="1:4" ht="12.75" x14ac:dyDescent="0.2">
      <c r="A417" s="2">
        <v>161</v>
      </c>
      <c r="B417" s="2">
        <v>8</v>
      </c>
      <c r="C417" s="2">
        <v>2</v>
      </c>
      <c r="D417" s="2">
        <v>3000</v>
      </c>
    </row>
    <row r="418" spans="1:4" ht="12.75" x14ac:dyDescent="0.2">
      <c r="A418" s="2">
        <v>162</v>
      </c>
      <c r="B418" s="2">
        <v>6</v>
      </c>
      <c r="C418" s="2">
        <v>3</v>
      </c>
      <c r="D418" s="2">
        <v>7000</v>
      </c>
    </row>
    <row r="419" spans="1:4" ht="12.75" x14ac:dyDescent="0.2">
      <c r="A419" s="2">
        <v>162</v>
      </c>
      <c r="B419" s="2">
        <v>5</v>
      </c>
      <c r="C419" s="2">
        <v>2</v>
      </c>
      <c r="D419" s="2">
        <v>5000</v>
      </c>
    </row>
    <row r="420" spans="1:4" ht="12.75" x14ac:dyDescent="0.2">
      <c r="A420" s="2">
        <v>162</v>
      </c>
      <c r="B420" s="2">
        <v>1</v>
      </c>
      <c r="C420" s="2">
        <v>1</v>
      </c>
      <c r="D420" s="2">
        <v>15000</v>
      </c>
    </row>
    <row r="421" spans="1:4" ht="12.75" x14ac:dyDescent="0.2">
      <c r="A421" s="2">
        <v>162</v>
      </c>
      <c r="B421" s="2">
        <v>3</v>
      </c>
      <c r="C421" s="2">
        <v>2</v>
      </c>
      <c r="D421" s="2">
        <v>8000</v>
      </c>
    </row>
    <row r="422" spans="1:4" ht="12.75" x14ac:dyDescent="0.2">
      <c r="A422" s="2">
        <v>163</v>
      </c>
      <c r="B422" s="2">
        <v>4</v>
      </c>
      <c r="C422" s="2">
        <v>2</v>
      </c>
      <c r="D422" s="2">
        <v>12000</v>
      </c>
    </row>
    <row r="423" spans="1:4" ht="12.75" x14ac:dyDescent="0.2">
      <c r="A423" s="2">
        <v>163</v>
      </c>
      <c r="B423" s="2">
        <v>4</v>
      </c>
      <c r="C423" s="2">
        <v>3</v>
      </c>
      <c r="D423" s="2">
        <v>12000</v>
      </c>
    </row>
    <row r="424" spans="1:4" ht="12.75" x14ac:dyDescent="0.2">
      <c r="A424" s="2">
        <v>163</v>
      </c>
      <c r="B424" s="2">
        <v>4</v>
      </c>
      <c r="C424" s="2">
        <v>1</v>
      </c>
      <c r="D424" s="2">
        <v>12000</v>
      </c>
    </row>
    <row r="425" spans="1:4" ht="12.75" x14ac:dyDescent="0.2">
      <c r="A425" s="2">
        <v>163</v>
      </c>
      <c r="B425" s="2">
        <v>4</v>
      </c>
      <c r="C425" s="2">
        <v>2</v>
      </c>
      <c r="D425" s="2">
        <v>12000</v>
      </c>
    </row>
    <row r="426" spans="1:4" ht="12.75" x14ac:dyDescent="0.2">
      <c r="A426" s="2">
        <v>164</v>
      </c>
      <c r="B426" s="2">
        <v>4</v>
      </c>
      <c r="C426" s="2">
        <v>3</v>
      </c>
      <c r="D426" s="2">
        <v>12000</v>
      </c>
    </row>
    <row r="427" spans="1:4" ht="12.75" x14ac:dyDescent="0.2">
      <c r="A427" s="2">
        <v>164</v>
      </c>
      <c r="B427" s="2">
        <v>7</v>
      </c>
      <c r="C427" s="2">
        <v>3</v>
      </c>
      <c r="D427" s="2">
        <v>40000</v>
      </c>
    </row>
    <row r="428" spans="1:4" ht="12.75" x14ac:dyDescent="0.2">
      <c r="A428" s="2">
        <v>165</v>
      </c>
      <c r="B428" s="2">
        <v>8</v>
      </c>
      <c r="C428" s="2">
        <v>2</v>
      </c>
      <c r="D428" s="2">
        <v>3000</v>
      </c>
    </row>
    <row r="429" spans="1:4" ht="12.75" x14ac:dyDescent="0.2">
      <c r="A429" s="2">
        <v>165</v>
      </c>
      <c r="B429" s="2">
        <v>4</v>
      </c>
      <c r="C429" s="2">
        <v>3</v>
      </c>
      <c r="D429" s="2">
        <v>12000</v>
      </c>
    </row>
    <row r="430" spans="1:4" ht="12.75" x14ac:dyDescent="0.2">
      <c r="A430" s="2">
        <v>165</v>
      </c>
      <c r="B430" s="2">
        <v>8</v>
      </c>
      <c r="C430" s="2">
        <v>2</v>
      </c>
      <c r="D430" s="2">
        <v>3000</v>
      </c>
    </row>
    <row r="431" spans="1:4" ht="12.75" x14ac:dyDescent="0.2">
      <c r="A431" s="2">
        <v>165</v>
      </c>
      <c r="B431" s="2">
        <v>6</v>
      </c>
      <c r="C431" s="2">
        <v>2</v>
      </c>
      <c r="D431" s="2">
        <v>7000</v>
      </c>
    </row>
    <row r="432" spans="1:4" ht="12.75" x14ac:dyDescent="0.2">
      <c r="A432" s="2">
        <v>166</v>
      </c>
      <c r="B432" s="2">
        <v>7</v>
      </c>
      <c r="C432" s="2">
        <v>2</v>
      </c>
      <c r="D432" s="2">
        <v>40000</v>
      </c>
    </row>
    <row r="433" spans="1:4" ht="12.75" x14ac:dyDescent="0.2">
      <c r="A433" s="2">
        <v>166</v>
      </c>
      <c r="B433" s="2">
        <v>3</v>
      </c>
      <c r="C433" s="2">
        <v>3</v>
      </c>
      <c r="D433" s="2">
        <v>8000</v>
      </c>
    </row>
    <row r="434" spans="1:4" ht="12.75" x14ac:dyDescent="0.2">
      <c r="A434" s="2">
        <v>166</v>
      </c>
      <c r="B434" s="2">
        <v>4</v>
      </c>
      <c r="C434" s="2">
        <v>2</v>
      </c>
      <c r="D434" s="2">
        <v>12000</v>
      </c>
    </row>
    <row r="435" spans="1:4" ht="12.75" x14ac:dyDescent="0.2">
      <c r="A435" s="2">
        <v>167</v>
      </c>
      <c r="B435" s="2">
        <v>5</v>
      </c>
      <c r="C435" s="2">
        <v>1</v>
      </c>
      <c r="D435" s="2">
        <v>5000</v>
      </c>
    </row>
    <row r="436" spans="1:4" ht="12.75" x14ac:dyDescent="0.2">
      <c r="A436" s="2">
        <v>167</v>
      </c>
      <c r="B436" s="2">
        <v>3</v>
      </c>
      <c r="C436" s="2">
        <v>3</v>
      </c>
      <c r="D436" s="2">
        <v>8000</v>
      </c>
    </row>
    <row r="437" spans="1:4" ht="12.75" x14ac:dyDescent="0.2">
      <c r="A437" s="2">
        <v>167</v>
      </c>
      <c r="B437" s="2">
        <v>4</v>
      </c>
      <c r="C437" s="2">
        <v>2</v>
      </c>
      <c r="D437" s="2">
        <v>12000</v>
      </c>
    </row>
    <row r="438" spans="1:4" ht="12.75" x14ac:dyDescent="0.2">
      <c r="A438" s="2">
        <v>168</v>
      </c>
      <c r="B438" s="2">
        <v>7</v>
      </c>
      <c r="C438" s="2">
        <v>3</v>
      </c>
      <c r="D438" s="2">
        <v>40000</v>
      </c>
    </row>
    <row r="439" spans="1:4" ht="12.75" x14ac:dyDescent="0.2">
      <c r="A439" s="2">
        <v>168</v>
      </c>
      <c r="B439" s="2">
        <v>3</v>
      </c>
      <c r="C439" s="2">
        <v>2</v>
      </c>
      <c r="D439" s="2">
        <v>8000</v>
      </c>
    </row>
    <row r="440" spans="1:4" ht="12.75" x14ac:dyDescent="0.2">
      <c r="A440" s="2">
        <v>168</v>
      </c>
      <c r="B440" s="2">
        <v>2</v>
      </c>
      <c r="C440" s="2">
        <v>3</v>
      </c>
      <c r="D440" s="2">
        <v>60000</v>
      </c>
    </row>
    <row r="441" spans="1:4" ht="12.75" x14ac:dyDescent="0.2">
      <c r="A441" s="2">
        <v>168</v>
      </c>
      <c r="B441" s="2">
        <v>6</v>
      </c>
      <c r="C441" s="2">
        <v>2</v>
      </c>
      <c r="D441" s="2">
        <v>7000</v>
      </c>
    </row>
    <row r="442" spans="1:4" ht="12.75" x14ac:dyDescent="0.2">
      <c r="A442" s="2">
        <v>169</v>
      </c>
      <c r="B442" s="2">
        <v>3</v>
      </c>
      <c r="C442" s="2">
        <v>2</v>
      </c>
      <c r="D442" s="2">
        <v>8000</v>
      </c>
    </row>
    <row r="443" spans="1:4" ht="12.75" x14ac:dyDescent="0.2">
      <c r="A443" s="2">
        <v>169</v>
      </c>
      <c r="B443" s="2">
        <v>6</v>
      </c>
      <c r="C443" s="2">
        <v>3</v>
      </c>
      <c r="D443" s="2">
        <v>7000</v>
      </c>
    </row>
    <row r="444" spans="1:4" ht="12.75" x14ac:dyDescent="0.2">
      <c r="A444" s="2">
        <v>169</v>
      </c>
      <c r="B444" s="2">
        <v>8</v>
      </c>
      <c r="C444" s="2">
        <v>1</v>
      </c>
      <c r="D444" s="2">
        <v>3000</v>
      </c>
    </row>
    <row r="445" spans="1:4" ht="12.75" x14ac:dyDescent="0.2">
      <c r="A445" s="2">
        <v>170</v>
      </c>
      <c r="B445" s="2">
        <v>4</v>
      </c>
      <c r="C445" s="2">
        <v>2</v>
      </c>
      <c r="D445" s="2">
        <v>12000</v>
      </c>
    </row>
    <row r="446" spans="1:4" ht="12.75" x14ac:dyDescent="0.2">
      <c r="A446" s="2">
        <v>171</v>
      </c>
      <c r="B446" s="2">
        <v>8</v>
      </c>
      <c r="C446" s="2">
        <v>1</v>
      </c>
      <c r="D446" s="2">
        <v>3000</v>
      </c>
    </row>
    <row r="447" spans="1:4" ht="12.75" x14ac:dyDescent="0.2">
      <c r="A447" s="2">
        <v>172</v>
      </c>
      <c r="B447" s="2">
        <v>6</v>
      </c>
      <c r="C447" s="2">
        <v>3</v>
      </c>
      <c r="D447" s="2">
        <v>7000</v>
      </c>
    </row>
    <row r="448" spans="1:4" ht="12.75" x14ac:dyDescent="0.2">
      <c r="A448" s="2">
        <v>172</v>
      </c>
      <c r="B448" s="2">
        <v>5</v>
      </c>
      <c r="C448" s="2">
        <v>1</v>
      </c>
      <c r="D448" s="2">
        <v>5000</v>
      </c>
    </row>
    <row r="449" spans="1:4" ht="12.75" x14ac:dyDescent="0.2">
      <c r="A449" s="2">
        <v>172</v>
      </c>
      <c r="B449" s="2">
        <v>7</v>
      </c>
      <c r="C449" s="2">
        <v>1</v>
      </c>
      <c r="D449" s="2">
        <v>40000</v>
      </c>
    </row>
    <row r="450" spans="1:4" ht="12.75" x14ac:dyDescent="0.2">
      <c r="A450" s="2">
        <v>173</v>
      </c>
      <c r="B450" s="2">
        <v>3</v>
      </c>
      <c r="C450" s="2">
        <v>1</v>
      </c>
      <c r="D450" s="2">
        <v>8000</v>
      </c>
    </row>
    <row r="451" spans="1:4" ht="12.75" x14ac:dyDescent="0.2">
      <c r="A451" s="2">
        <v>174</v>
      </c>
      <c r="B451" s="2">
        <v>2</v>
      </c>
      <c r="C451" s="2">
        <v>1</v>
      </c>
      <c r="D451" s="2">
        <v>60000</v>
      </c>
    </row>
    <row r="452" spans="1:4" ht="12.75" x14ac:dyDescent="0.2">
      <c r="A452" s="2">
        <v>174</v>
      </c>
      <c r="B452" s="2">
        <v>1</v>
      </c>
      <c r="C452" s="2">
        <v>1</v>
      </c>
      <c r="D452" s="2">
        <v>15000</v>
      </c>
    </row>
    <row r="453" spans="1:4" ht="12.75" x14ac:dyDescent="0.2">
      <c r="A453" s="2">
        <v>174</v>
      </c>
      <c r="B453" s="2">
        <v>7</v>
      </c>
      <c r="C453" s="2">
        <v>3</v>
      </c>
      <c r="D453" s="2">
        <v>40000</v>
      </c>
    </row>
    <row r="454" spans="1:4" ht="12.75" x14ac:dyDescent="0.2">
      <c r="A454" s="2">
        <v>174</v>
      </c>
      <c r="B454" s="2">
        <v>6</v>
      </c>
      <c r="C454" s="2">
        <v>3</v>
      </c>
      <c r="D454" s="2">
        <v>7000</v>
      </c>
    </row>
    <row r="455" spans="1:4" ht="12.75" x14ac:dyDescent="0.2">
      <c r="A455" s="2">
        <v>175</v>
      </c>
      <c r="B455" s="2">
        <v>7</v>
      </c>
      <c r="C455" s="2">
        <v>1</v>
      </c>
      <c r="D455" s="2">
        <v>40000</v>
      </c>
    </row>
    <row r="456" spans="1:4" ht="12.75" x14ac:dyDescent="0.2">
      <c r="A456" s="2">
        <v>175</v>
      </c>
      <c r="B456" s="2">
        <v>2</v>
      </c>
      <c r="C456" s="2">
        <v>3</v>
      </c>
      <c r="D456" s="2">
        <v>60000</v>
      </c>
    </row>
    <row r="457" spans="1:4" ht="12.75" x14ac:dyDescent="0.2">
      <c r="A457" s="2">
        <v>175</v>
      </c>
      <c r="B457" s="2">
        <v>8</v>
      </c>
      <c r="C457" s="2">
        <v>1</v>
      </c>
      <c r="D457" s="2">
        <v>3000</v>
      </c>
    </row>
    <row r="458" spans="1:4" ht="12.75" x14ac:dyDescent="0.2">
      <c r="A458" s="2">
        <v>175</v>
      </c>
      <c r="B458" s="2">
        <v>5</v>
      </c>
      <c r="C458" s="2">
        <v>1</v>
      </c>
      <c r="D458" s="2">
        <v>5000</v>
      </c>
    </row>
    <row r="459" spans="1:4" ht="12.75" x14ac:dyDescent="0.2">
      <c r="A459" s="2">
        <v>176</v>
      </c>
      <c r="B459" s="2">
        <v>2</v>
      </c>
      <c r="C459" s="2">
        <v>1</v>
      </c>
      <c r="D459" s="2">
        <v>60000</v>
      </c>
    </row>
    <row r="460" spans="1:4" ht="12.75" x14ac:dyDescent="0.2">
      <c r="A460" s="2">
        <v>177</v>
      </c>
      <c r="B460" s="2">
        <v>8</v>
      </c>
      <c r="C460" s="2">
        <v>2</v>
      </c>
      <c r="D460" s="2">
        <v>3000</v>
      </c>
    </row>
    <row r="461" spans="1:4" ht="12.75" x14ac:dyDescent="0.2">
      <c r="A461" s="2">
        <v>177</v>
      </c>
      <c r="B461" s="2">
        <v>3</v>
      </c>
      <c r="C461" s="2">
        <v>2</v>
      </c>
      <c r="D461" s="2">
        <v>8000</v>
      </c>
    </row>
    <row r="462" spans="1:4" ht="12.75" x14ac:dyDescent="0.2">
      <c r="A462" s="2">
        <v>177</v>
      </c>
      <c r="B462" s="2">
        <v>8</v>
      </c>
      <c r="C462" s="2">
        <v>1</v>
      </c>
      <c r="D462" s="2">
        <v>3000</v>
      </c>
    </row>
    <row r="463" spans="1:4" ht="12.75" x14ac:dyDescent="0.2">
      <c r="A463" s="2">
        <v>177</v>
      </c>
      <c r="B463" s="2">
        <v>7</v>
      </c>
      <c r="C463" s="2">
        <v>3</v>
      </c>
      <c r="D463" s="2">
        <v>40000</v>
      </c>
    </row>
    <row r="464" spans="1:4" ht="12.75" x14ac:dyDescent="0.2">
      <c r="A464" s="2">
        <v>178</v>
      </c>
      <c r="B464" s="2">
        <v>5</v>
      </c>
      <c r="C464" s="2">
        <v>3</v>
      </c>
      <c r="D464" s="2">
        <v>5000</v>
      </c>
    </row>
    <row r="465" spans="1:4" ht="12.75" x14ac:dyDescent="0.2">
      <c r="A465" s="2">
        <v>178</v>
      </c>
      <c r="B465" s="2">
        <v>8</v>
      </c>
      <c r="C465" s="2">
        <v>3</v>
      </c>
      <c r="D465" s="2">
        <v>3000</v>
      </c>
    </row>
    <row r="466" spans="1:4" ht="12.75" x14ac:dyDescent="0.2">
      <c r="A466" s="2">
        <v>178</v>
      </c>
      <c r="B466" s="2">
        <v>1</v>
      </c>
      <c r="C466" s="2">
        <v>3</v>
      </c>
      <c r="D466" s="2">
        <v>15000</v>
      </c>
    </row>
    <row r="467" spans="1:4" ht="12.75" x14ac:dyDescent="0.2">
      <c r="A467" s="2">
        <v>179</v>
      </c>
      <c r="B467" s="2">
        <v>8</v>
      </c>
      <c r="C467" s="2">
        <v>2</v>
      </c>
      <c r="D467" s="2">
        <v>3000</v>
      </c>
    </row>
    <row r="468" spans="1:4" ht="12.75" x14ac:dyDescent="0.2">
      <c r="A468" s="2">
        <v>179</v>
      </c>
      <c r="B468" s="2">
        <v>7</v>
      </c>
      <c r="C468" s="2">
        <v>1</v>
      </c>
      <c r="D468" s="2">
        <v>40000</v>
      </c>
    </row>
    <row r="469" spans="1:4" ht="12.75" x14ac:dyDescent="0.2">
      <c r="A469" s="2">
        <v>179</v>
      </c>
      <c r="B469" s="2">
        <v>4</v>
      </c>
      <c r="C469" s="2">
        <v>3</v>
      </c>
      <c r="D469" s="2">
        <v>12000</v>
      </c>
    </row>
    <row r="470" spans="1:4" ht="12.75" x14ac:dyDescent="0.2">
      <c r="A470" s="2">
        <v>180</v>
      </c>
      <c r="B470" s="2">
        <v>2</v>
      </c>
      <c r="C470" s="2">
        <v>1</v>
      </c>
      <c r="D470" s="2">
        <v>60000</v>
      </c>
    </row>
    <row r="471" spans="1:4" ht="12.75" x14ac:dyDescent="0.2">
      <c r="A471" s="2">
        <v>181</v>
      </c>
      <c r="B471" s="2">
        <v>6</v>
      </c>
      <c r="C471" s="2">
        <v>3</v>
      </c>
      <c r="D471" s="2">
        <v>7000</v>
      </c>
    </row>
    <row r="472" spans="1:4" ht="12.75" x14ac:dyDescent="0.2">
      <c r="A472" s="2">
        <v>181</v>
      </c>
      <c r="B472" s="2">
        <v>2</v>
      </c>
      <c r="C472" s="2">
        <v>3</v>
      </c>
      <c r="D472" s="2">
        <v>60000</v>
      </c>
    </row>
    <row r="473" spans="1:4" ht="12.75" x14ac:dyDescent="0.2">
      <c r="A473" s="2">
        <v>181</v>
      </c>
      <c r="B473" s="2">
        <v>5</v>
      </c>
      <c r="C473" s="2">
        <v>3</v>
      </c>
      <c r="D473" s="2">
        <v>5000</v>
      </c>
    </row>
    <row r="474" spans="1:4" ht="12.75" x14ac:dyDescent="0.2">
      <c r="A474" s="2">
        <v>181</v>
      </c>
      <c r="B474" s="2">
        <v>2</v>
      </c>
      <c r="C474" s="2">
        <v>1</v>
      </c>
      <c r="D474" s="2">
        <v>60000</v>
      </c>
    </row>
    <row r="475" spans="1:4" ht="12.75" x14ac:dyDescent="0.2">
      <c r="A475" s="2">
        <v>182</v>
      </c>
      <c r="B475" s="2">
        <v>7</v>
      </c>
      <c r="C475" s="2">
        <v>3</v>
      </c>
      <c r="D475" s="2">
        <v>40000</v>
      </c>
    </row>
    <row r="476" spans="1:4" ht="12.75" x14ac:dyDescent="0.2">
      <c r="A476" s="2">
        <v>182</v>
      </c>
      <c r="B476" s="2">
        <v>3</v>
      </c>
      <c r="C476" s="2">
        <v>3</v>
      </c>
      <c r="D476" s="2">
        <v>8000</v>
      </c>
    </row>
    <row r="477" spans="1:4" ht="12.75" x14ac:dyDescent="0.2">
      <c r="A477" s="2">
        <v>182</v>
      </c>
      <c r="B477" s="2">
        <v>3</v>
      </c>
      <c r="C477" s="2">
        <v>2</v>
      </c>
      <c r="D477" s="2">
        <v>8000</v>
      </c>
    </row>
    <row r="478" spans="1:4" ht="12.75" x14ac:dyDescent="0.2">
      <c r="A478" s="2">
        <v>182</v>
      </c>
      <c r="B478" s="2">
        <v>4</v>
      </c>
      <c r="C478" s="2">
        <v>1</v>
      </c>
      <c r="D478" s="2">
        <v>12000</v>
      </c>
    </row>
    <row r="479" spans="1:4" ht="12.75" x14ac:dyDescent="0.2">
      <c r="A479" s="2">
        <v>183</v>
      </c>
      <c r="B479" s="2">
        <v>1</v>
      </c>
      <c r="C479" s="2">
        <v>2</v>
      </c>
      <c r="D479" s="2">
        <v>15000</v>
      </c>
    </row>
    <row r="480" spans="1:4" ht="12.75" x14ac:dyDescent="0.2">
      <c r="A480" s="2">
        <v>183</v>
      </c>
      <c r="B480" s="2">
        <v>3</v>
      </c>
      <c r="C480" s="2">
        <v>1</v>
      </c>
      <c r="D480" s="2">
        <v>8000</v>
      </c>
    </row>
    <row r="481" spans="1:4" ht="12.75" x14ac:dyDescent="0.2">
      <c r="A481" s="2">
        <v>183</v>
      </c>
      <c r="B481" s="2">
        <v>3</v>
      </c>
      <c r="C481" s="2">
        <v>1</v>
      </c>
      <c r="D481" s="2">
        <v>8000</v>
      </c>
    </row>
    <row r="482" spans="1:4" ht="12.75" x14ac:dyDescent="0.2">
      <c r="A482" s="2">
        <v>184</v>
      </c>
      <c r="B482" s="2">
        <v>1</v>
      </c>
      <c r="C482" s="2">
        <v>2</v>
      </c>
      <c r="D482" s="2">
        <v>15000</v>
      </c>
    </row>
    <row r="483" spans="1:4" ht="12.75" x14ac:dyDescent="0.2">
      <c r="A483" s="2">
        <v>184</v>
      </c>
      <c r="B483" s="2">
        <v>5</v>
      </c>
      <c r="C483" s="2">
        <v>1</v>
      </c>
      <c r="D483" s="2">
        <v>5000</v>
      </c>
    </row>
    <row r="484" spans="1:4" ht="12.75" x14ac:dyDescent="0.2">
      <c r="A484" s="2">
        <v>185</v>
      </c>
      <c r="B484" s="2">
        <v>6</v>
      </c>
      <c r="C484" s="2">
        <v>2</v>
      </c>
      <c r="D484" s="2">
        <v>7000</v>
      </c>
    </row>
    <row r="485" spans="1:4" ht="12.75" x14ac:dyDescent="0.2">
      <c r="A485" s="2">
        <v>185</v>
      </c>
      <c r="B485" s="2">
        <v>7</v>
      </c>
      <c r="C485" s="2">
        <v>1</v>
      </c>
      <c r="D485" s="2">
        <v>40000</v>
      </c>
    </row>
    <row r="486" spans="1:4" ht="12.75" x14ac:dyDescent="0.2">
      <c r="A486" s="2">
        <v>185</v>
      </c>
      <c r="B486" s="2">
        <v>1</v>
      </c>
      <c r="C486" s="2">
        <v>1</v>
      </c>
      <c r="D486" s="2">
        <v>15000</v>
      </c>
    </row>
    <row r="487" spans="1:4" ht="12.75" x14ac:dyDescent="0.2">
      <c r="A487" s="2">
        <v>186</v>
      </c>
      <c r="B487" s="2">
        <v>3</v>
      </c>
      <c r="C487" s="2">
        <v>3</v>
      </c>
      <c r="D487" s="2">
        <v>8000</v>
      </c>
    </row>
    <row r="488" spans="1:4" ht="12.75" x14ac:dyDescent="0.2">
      <c r="A488" s="2">
        <v>186</v>
      </c>
      <c r="B488" s="2">
        <v>7</v>
      </c>
      <c r="C488" s="2">
        <v>2</v>
      </c>
      <c r="D488" s="2">
        <v>40000</v>
      </c>
    </row>
    <row r="489" spans="1:4" ht="12.75" x14ac:dyDescent="0.2">
      <c r="A489" s="2">
        <v>187</v>
      </c>
      <c r="B489" s="2">
        <v>6</v>
      </c>
      <c r="C489" s="2">
        <v>3</v>
      </c>
      <c r="D489" s="2">
        <v>7000</v>
      </c>
    </row>
    <row r="490" spans="1:4" ht="12.75" x14ac:dyDescent="0.2">
      <c r="A490" s="2">
        <v>188</v>
      </c>
      <c r="B490" s="2">
        <v>2</v>
      </c>
      <c r="C490" s="2">
        <v>1</v>
      </c>
      <c r="D490" s="2">
        <v>60000</v>
      </c>
    </row>
    <row r="491" spans="1:4" ht="12.75" x14ac:dyDescent="0.2">
      <c r="A491" s="2">
        <v>188</v>
      </c>
      <c r="B491" s="2">
        <v>2</v>
      </c>
      <c r="C491" s="2">
        <v>3</v>
      </c>
      <c r="D491" s="2">
        <v>60000</v>
      </c>
    </row>
    <row r="492" spans="1:4" ht="12.75" x14ac:dyDescent="0.2">
      <c r="A492" s="2">
        <v>188</v>
      </c>
      <c r="B492" s="2">
        <v>3</v>
      </c>
      <c r="C492" s="2">
        <v>3</v>
      </c>
      <c r="D492" s="2">
        <v>8000</v>
      </c>
    </row>
    <row r="493" spans="1:4" ht="12.75" x14ac:dyDescent="0.2">
      <c r="A493" s="2">
        <v>188</v>
      </c>
      <c r="B493" s="2">
        <v>7</v>
      </c>
      <c r="C493" s="2">
        <v>3</v>
      </c>
      <c r="D493" s="2">
        <v>40000</v>
      </c>
    </row>
    <row r="494" spans="1:4" ht="12.75" x14ac:dyDescent="0.2">
      <c r="A494" s="2">
        <v>189</v>
      </c>
      <c r="B494" s="2">
        <v>4</v>
      </c>
      <c r="C494" s="2">
        <v>1</v>
      </c>
      <c r="D494" s="2">
        <v>12000</v>
      </c>
    </row>
    <row r="495" spans="1:4" ht="12.75" x14ac:dyDescent="0.2">
      <c r="A495" s="2">
        <v>190</v>
      </c>
      <c r="B495" s="2">
        <v>7</v>
      </c>
      <c r="C495" s="2">
        <v>2</v>
      </c>
      <c r="D495" s="2">
        <v>40000</v>
      </c>
    </row>
    <row r="496" spans="1:4" ht="12.75" x14ac:dyDescent="0.2">
      <c r="A496" s="2">
        <v>190</v>
      </c>
      <c r="B496" s="2">
        <v>4</v>
      </c>
      <c r="C496" s="2">
        <v>3</v>
      </c>
      <c r="D496" s="2">
        <v>12000</v>
      </c>
    </row>
    <row r="497" spans="1:4" ht="12.75" x14ac:dyDescent="0.2">
      <c r="A497" s="2">
        <v>190</v>
      </c>
      <c r="B497" s="2">
        <v>8</v>
      </c>
      <c r="C497" s="2">
        <v>3</v>
      </c>
      <c r="D497" s="2">
        <v>3000</v>
      </c>
    </row>
    <row r="498" spans="1:4" ht="12.75" x14ac:dyDescent="0.2">
      <c r="A498" s="2">
        <v>191</v>
      </c>
      <c r="B498" s="2">
        <v>5</v>
      </c>
      <c r="C498" s="2">
        <v>1</v>
      </c>
      <c r="D498" s="2">
        <v>5000</v>
      </c>
    </row>
    <row r="499" spans="1:4" ht="12.75" x14ac:dyDescent="0.2">
      <c r="A499" s="2">
        <v>191</v>
      </c>
      <c r="B499" s="2">
        <v>8</v>
      </c>
      <c r="C499" s="2">
        <v>3</v>
      </c>
      <c r="D499" s="2">
        <v>3000</v>
      </c>
    </row>
    <row r="500" spans="1:4" ht="12.75" x14ac:dyDescent="0.2">
      <c r="A500" s="2">
        <v>192</v>
      </c>
      <c r="B500" s="2">
        <v>7</v>
      </c>
      <c r="C500" s="2">
        <v>1</v>
      </c>
      <c r="D500" s="2">
        <v>40000</v>
      </c>
    </row>
    <row r="501" spans="1:4" ht="12.75" x14ac:dyDescent="0.2">
      <c r="A501" s="2">
        <v>193</v>
      </c>
      <c r="B501" s="2">
        <v>1</v>
      </c>
      <c r="C501" s="2">
        <v>3</v>
      </c>
      <c r="D501" s="2">
        <v>15000</v>
      </c>
    </row>
    <row r="502" spans="1:4" ht="12.75" x14ac:dyDescent="0.2">
      <c r="A502" s="2">
        <v>193</v>
      </c>
      <c r="B502" s="2">
        <v>3</v>
      </c>
      <c r="C502" s="2">
        <v>2</v>
      </c>
      <c r="D502" s="2">
        <v>8000</v>
      </c>
    </row>
    <row r="503" spans="1:4" ht="12.75" x14ac:dyDescent="0.2">
      <c r="A503" s="2">
        <v>194</v>
      </c>
      <c r="B503" s="2">
        <v>6</v>
      </c>
      <c r="C503" s="2">
        <v>3</v>
      </c>
      <c r="D503" s="2">
        <v>7000</v>
      </c>
    </row>
    <row r="504" spans="1:4" ht="12.75" x14ac:dyDescent="0.2">
      <c r="A504" s="2">
        <v>194</v>
      </c>
      <c r="B504" s="2">
        <v>5</v>
      </c>
      <c r="C504" s="2">
        <v>1</v>
      </c>
      <c r="D504" s="2">
        <v>5000</v>
      </c>
    </row>
    <row r="505" spans="1:4" ht="12.75" x14ac:dyDescent="0.2">
      <c r="A505" s="2">
        <v>194</v>
      </c>
      <c r="B505" s="2">
        <v>6</v>
      </c>
      <c r="C505" s="2">
        <v>1</v>
      </c>
      <c r="D505" s="2">
        <v>7000</v>
      </c>
    </row>
    <row r="506" spans="1:4" ht="12.75" x14ac:dyDescent="0.2">
      <c r="A506" s="2">
        <v>194</v>
      </c>
      <c r="B506" s="2">
        <v>1</v>
      </c>
      <c r="C506" s="2">
        <v>3</v>
      </c>
      <c r="D506" s="2">
        <v>15000</v>
      </c>
    </row>
    <row r="507" spans="1:4" ht="12.75" x14ac:dyDescent="0.2">
      <c r="A507" s="2">
        <v>195</v>
      </c>
      <c r="B507" s="2">
        <v>2</v>
      </c>
      <c r="C507" s="2">
        <v>3</v>
      </c>
      <c r="D507" s="2">
        <v>60000</v>
      </c>
    </row>
    <row r="508" spans="1:4" ht="12.75" x14ac:dyDescent="0.2">
      <c r="A508" s="2">
        <v>195</v>
      </c>
      <c r="B508" s="2">
        <v>3</v>
      </c>
      <c r="C508" s="2">
        <v>2</v>
      </c>
      <c r="D508" s="2">
        <v>8000</v>
      </c>
    </row>
    <row r="509" spans="1:4" ht="12.75" x14ac:dyDescent="0.2">
      <c r="A509" s="2">
        <v>195</v>
      </c>
      <c r="B509" s="2">
        <v>4</v>
      </c>
      <c r="C509" s="2">
        <v>3</v>
      </c>
      <c r="D509" s="2">
        <v>12000</v>
      </c>
    </row>
    <row r="510" spans="1:4" ht="12.75" x14ac:dyDescent="0.2">
      <c r="A510" s="2">
        <v>196</v>
      </c>
      <c r="B510" s="2">
        <v>7</v>
      </c>
      <c r="C510" s="2">
        <v>3</v>
      </c>
      <c r="D510" s="2">
        <v>40000</v>
      </c>
    </row>
    <row r="511" spans="1:4" ht="12.75" x14ac:dyDescent="0.2">
      <c r="A511" s="2">
        <v>196</v>
      </c>
      <c r="B511" s="2">
        <v>8</v>
      </c>
      <c r="C511" s="2">
        <v>2</v>
      </c>
      <c r="D511" s="2">
        <v>3000</v>
      </c>
    </row>
    <row r="512" spans="1:4" ht="12.75" x14ac:dyDescent="0.2">
      <c r="A512" s="2">
        <v>197</v>
      </c>
      <c r="B512" s="2">
        <v>2</v>
      </c>
      <c r="C512" s="2">
        <v>2</v>
      </c>
      <c r="D512" s="2">
        <v>60000</v>
      </c>
    </row>
    <row r="513" spans="1:4" ht="12.75" x14ac:dyDescent="0.2">
      <c r="A513" s="2">
        <v>198</v>
      </c>
      <c r="B513" s="2">
        <v>2</v>
      </c>
      <c r="C513" s="2">
        <v>2</v>
      </c>
      <c r="D513" s="2">
        <v>60000</v>
      </c>
    </row>
    <row r="514" spans="1:4" ht="12.75" x14ac:dyDescent="0.2">
      <c r="A514" s="2">
        <v>198</v>
      </c>
      <c r="B514" s="2">
        <v>5</v>
      </c>
      <c r="C514" s="2">
        <v>3</v>
      </c>
      <c r="D514" s="2">
        <v>5000</v>
      </c>
    </row>
    <row r="515" spans="1:4" ht="12.75" x14ac:dyDescent="0.2">
      <c r="A515" s="2">
        <v>198</v>
      </c>
      <c r="B515" s="2">
        <v>3</v>
      </c>
      <c r="C515" s="2">
        <v>2</v>
      </c>
      <c r="D515" s="2">
        <v>8000</v>
      </c>
    </row>
    <row r="516" spans="1:4" ht="12.75" x14ac:dyDescent="0.2">
      <c r="A516" s="2">
        <v>199</v>
      </c>
      <c r="B516" s="2">
        <v>3</v>
      </c>
      <c r="C516" s="2">
        <v>1</v>
      </c>
      <c r="D516" s="2">
        <v>8000</v>
      </c>
    </row>
    <row r="517" spans="1:4" ht="12.75" x14ac:dyDescent="0.2">
      <c r="A517" s="2">
        <v>199</v>
      </c>
      <c r="B517" s="2">
        <v>1</v>
      </c>
      <c r="C517" s="2">
        <v>1</v>
      </c>
      <c r="D517" s="2">
        <v>15000</v>
      </c>
    </row>
    <row r="518" spans="1:4" ht="12.75" x14ac:dyDescent="0.2">
      <c r="A518" s="2">
        <v>200</v>
      </c>
      <c r="B518" s="2">
        <v>5</v>
      </c>
      <c r="C518" s="2">
        <v>2</v>
      </c>
      <c r="D518" s="2">
        <v>5000</v>
      </c>
    </row>
    <row r="519" spans="1:4" ht="12.75" x14ac:dyDescent="0.2">
      <c r="A519" s="2">
        <v>200</v>
      </c>
      <c r="B519" s="2">
        <v>2</v>
      </c>
      <c r="C519" s="2">
        <v>2</v>
      </c>
      <c r="D519" s="2">
        <v>60000</v>
      </c>
    </row>
    <row r="520" spans="1:4" ht="12.75" x14ac:dyDescent="0.2">
      <c r="A520" s="2">
        <v>200</v>
      </c>
      <c r="B520" s="2">
        <v>6</v>
      </c>
      <c r="C520" s="2">
        <v>3</v>
      </c>
      <c r="D520" s="2">
        <v>7000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
  <sheetViews>
    <sheetView workbookViewId="0">
      <selection sqref="A1:C101"/>
    </sheetView>
  </sheetViews>
  <sheetFormatPr defaultColWidth="12.7109375" defaultRowHeight="15.75" customHeight="1" x14ac:dyDescent="0.2"/>
  <cols>
    <col min="1" max="1" width="14.140625" customWidth="1"/>
    <col min="2" max="2" width="18.5703125" bestFit="1" customWidth="1"/>
    <col min="3" max="3" width="10.85546875" bestFit="1" customWidth="1"/>
  </cols>
  <sheetData>
    <row r="1" spans="1:26" ht="15.75" customHeight="1" x14ac:dyDescent="0.2">
      <c r="A1" s="1" t="s">
        <v>18</v>
      </c>
      <c r="B1" s="1" t="s">
        <v>1</v>
      </c>
      <c r="C1" s="1" t="s">
        <v>19</v>
      </c>
      <c r="D1" s="1"/>
      <c r="E1" s="1"/>
      <c r="F1" s="1"/>
      <c r="G1" s="1"/>
      <c r="H1" s="1"/>
      <c r="I1" s="1"/>
      <c r="J1" s="1"/>
      <c r="K1" s="1"/>
      <c r="L1" s="1"/>
      <c r="M1" s="1"/>
      <c r="N1" s="1"/>
      <c r="O1" s="1"/>
      <c r="P1" s="1"/>
      <c r="Q1" s="1"/>
      <c r="R1" s="1"/>
      <c r="S1" s="1"/>
      <c r="T1" s="1"/>
      <c r="U1" s="1"/>
      <c r="V1" s="1"/>
      <c r="W1" s="1"/>
      <c r="X1" s="1"/>
      <c r="Y1" s="1"/>
      <c r="Z1" s="1"/>
    </row>
    <row r="2" spans="1:26" ht="15.75" customHeight="1" x14ac:dyDescent="0.2">
      <c r="A2" s="2">
        <v>1</v>
      </c>
      <c r="B2" s="2" t="s">
        <v>20</v>
      </c>
      <c r="C2" s="2" t="s">
        <v>21</v>
      </c>
    </row>
    <row r="3" spans="1:26" ht="15.75" customHeight="1" x14ac:dyDescent="0.2">
      <c r="A3" s="2">
        <v>2</v>
      </c>
      <c r="B3" s="2" t="s">
        <v>22</v>
      </c>
      <c r="C3" s="2" t="s">
        <v>23</v>
      </c>
    </row>
    <row r="4" spans="1:26" ht="15.75" customHeight="1" x14ac:dyDescent="0.2">
      <c r="A4" s="2">
        <v>3</v>
      </c>
      <c r="B4" s="2" t="s">
        <v>24</v>
      </c>
      <c r="C4" s="2" t="s">
        <v>23</v>
      </c>
    </row>
    <row r="5" spans="1:26" ht="15.75" customHeight="1" x14ac:dyDescent="0.2">
      <c r="A5" s="2">
        <v>4</v>
      </c>
      <c r="B5" s="2" t="s">
        <v>25</v>
      </c>
      <c r="C5" s="2" t="s">
        <v>26</v>
      </c>
    </row>
    <row r="6" spans="1:26" ht="15.75" customHeight="1" x14ac:dyDescent="0.2">
      <c r="A6" s="2">
        <v>5</v>
      </c>
      <c r="B6" s="2" t="s">
        <v>27</v>
      </c>
      <c r="C6" s="2" t="s">
        <v>26</v>
      </c>
    </row>
    <row r="7" spans="1:26" ht="15.75" customHeight="1" x14ac:dyDescent="0.2">
      <c r="A7" s="2">
        <v>6</v>
      </c>
      <c r="B7" s="2" t="s">
        <v>28</v>
      </c>
      <c r="C7" s="2" t="s">
        <v>23</v>
      </c>
    </row>
    <row r="8" spans="1:26" ht="15.75" customHeight="1" x14ac:dyDescent="0.2">
      <c r="A8" s="2">
        <v>7</v>
      </c>
      <c r="B8" s="2" t="s">
        <v>29</v>
      </c>
      <c r="C8" s="2" t="s">
        <v>23</v>
      </c>
    </row>
    <row r="9" spans="1:26" ht="15.75" customHeight="1" x14ac:dyDescent="0.2">
      <c r="A9" s="2">
        <v>8</v>
      </c>
      <c r="B9" s="2" t="s">
        <v>30</v>
      </c>
      <c r="C9" s="2" t="s">
        <v>21</v>
      </c>
    </row>
    <row r="10" spans="1:26" ht="15.75" customHeight="1" x14ac:dyDescent="0.2">
      <c r="A10" s="2">
        <v>9</v>
      </c>
      <c r="B10" s="2" t="s">
        <v>31</v>
      </c>
      <c r="C10" s="2" t="s">
        <v>32</v>
      </c>
    </row>
    <row r="11" spans="1:26" ht="15.75" customHeight="1" x14ac:dyDescent="0.2">
      <c r="A11" s="2">
        <v>10</v>
      </c>
      <c r="B11" s="2" t="s">
        <v>33</v>
      </c>
      <c r="C11" s="2" t="s">
        <v>34</v>
      </c>
    </row>
    <row r="12" spans="1:26" ht="15.75" customHeight="1" x14ac:dyDescent="0.2">
      <c r="A12" s="2">
        <v>11</v>
      </c>
      <c r="B12" s="2" t="s">
        <v>35</v>
      </c>
      <c r="C12" s="2" t="s">
        <v>36</v>
      </c>
    </row>
    <row r="13" spans="1:26" ht="15.75" customHeight="1" x14ac:dyDescent="0.2">
      <c r="A13" s="2">
        <v>12</v>
      </c>
      <c r="B13" s="2" t="s">
        <v>37</v>
      </c>
      <c r="C13" s="2" t="s">
        <v>38</v>
      </c>
    </row>
    <row r="14" spans="1:26" ht="15.75" customHeight="1" x14ac:dyDescent="0.2">
      <c r="A14" s="2">
        <v>13</v>
      </c>
      <c r="B14" s="2" t="s">
        <v>39</v>
      </c>
      <c r="C14" s="2" t="s">
        <v>34</v>
      </c>
    </row>
    <row r="15" spans="1:26" ht="15.75" customHeight="1" x14ac:dyDescent="0.2">
      <c r="A15" s="2">
        <v>14</v>
      </c>
      <c r="B15" s="2" t="s">
        <v>40</v>
      </c>
      <c r="C15" s="2" t="s">
        <v>36</v>
      </c>
    </row>
    <row r="16" spans="1:26" ht="15.75" customHeight="1" x14ac:dyDescent="0.2">
      <c r="A16" s="2">
        <v>15</v>
      </c>
      <c r="B16" s="2" t="s">
        <v>41</v>
      </c>
      <c r="C16" s="2" t="s">
        <v>21</v>
      </c>
    </row>
    <row r="17" spans="1:3" ht="15.75" customHeight="1" x14ac:dyDescent="0.2">
      <c r="A17" s="2">
        <v>16</v>
      </c>
      <c r="B17" s="2" t="s">
        <v>42</v>
      </c>
      <c r="C17" s="2" t="s">
        <v>43</v>
      </c>
    </row>
    <row r="18" spans="1:3" ht="15.75" customHeight="1" x14ac:dyDescent="0.2">
      <c r="A18" s="2">
        <v>17</v>
      </c>
      <c r="B18" s="2" t="s">
        <v>44</v>
      </c>
      <c r="C18" s="2" t="s">
        <v>43</v>
      </c>
    </row>
    <row r="19" spans="1:3" ht="15.75" customHeight="1" x14ac:dyDescent="0.2">
      <c r="A19" s="2">
        <v>18</v>
      </c>
      <c r="B19" s="2" t="s">
        <v>45</v>
      </c>
      <c r="C19" s="2" t="s">
        <v>43</v>
      </c>
    </row>
    <row r="20" spans="1:3" ht="15.75" customHeight="1" x14ac:dyDescent="0.2">
      <c r="A20" s="2">
        <v>19</v>
      </c>
      <c r="B20" s="2" t="s">
        <v>46</v>
      </c>
      <c r="C20" s="2" t="s">
        <v>26</v>
      </c>
    </row>
    <row r="21" spans="1:3" ht="15.75" customHeight="1" x14ac:dyDescent="0.2">
      <c r="A21" s="2">
        <v>20</v>
      </c>
      <c r="B21" s="2" t="s">
        <v>47</v>
      </c>
      <c r="C21" s="2" t="s">
        <v>26</v>
      </c>
    </row>
    <row r="22" spans="1:3" ht="15.75" customHeight="1" x14ac:dyDescent="0.2">
      <c r="A22" s="2">
        <v>21</v>
      </c>
      <c r="B22" s="2" t="s">
        <v>48</v>
      </c>
      <c r="C22" s="2" t="s">
        <v>36</v>
      </c>
    </row>
    <row r="23" spans="1:3" ht="15.75" customHeight="1" x14ac:dyDescent="0.2">
      <c r="A23" s="2">
        <v>22</v>
      </c>
      <c r="B23" s="2" t="s">
        <v>49</v>
      </c>
      <c r="C23" s="2" t="s">
        <v>34</v>
      </c>
    </row>
    <row r="24" spans="1:3" ht="15.75" customHeight="1" x14ac:dyDescent="0.2">
      <c r="A24" s="2">
        <v>23</v>
      </c>
      <c r="B24" s="2" t="s">
        <v>50</v>
      </c>
      <c r="C24" s="2" t="s">
        <v>23</v>
      </c>
    </row>
    <row r="25" spans="1:3" ht="15.75" customHeight="1" x14ac:dyDescent="0.2">
      <c r="A25" s="2">
        <v>24</v>
      </c>
      <c r="B25" s="2" t="s">
        <v>51</v>
      </c>
      <c r="C25" s="2" t="s">
        <v>52</v>
      </c>
    </row>
    <row r="26" spans="1:3" ht="15.75" customHeight="1" x14ac:dyDescent="0.2">
      <c r="A26" s="2">
        <v>25</v>
      </c>
      <c r="B26" s="2" t="s">
        <v>53</v>
      </c>
      <c r="C26" s="2" t="s">
        <v>34</v>
      </c>
    </row>
    <row r="27" spans="1:3" ht="15.75" customHeight="1" x14ac:dyDescent="0.2">
      <c r="A27" s="2">
        <v>26</v>
      </c>
      <c r="B27" s="2" t="s">
        <v>54</v>
      </c>
      <c r="C27" s="2" t="s">
        <v>38</v>
      </c>
    </row>
    <row r="28" spans="1:3" ht="15.75" customHeight="1" x14ac:dyDescent="0.2">
      <c r="A28" s="2">
        <v>27</v>
      </c>
      <c r="B28" s="2" t="s">
        <v>55</v>
      </c>
      <c r="C28" s="2" t="s">
        <v>43</v>
      </c>
    </row>
    <row r="29" spans="1:3" ht="15.75" customHeight="1" x14ac:dyDescent="0.2">
      <c r="A29" s="2">
        <v>28</v>
      </c>
      <c r="B29" s="2" t="s">
        <v>56</v>
      </c>
      <c r="C29" s="2" t="s">
        <v>36</v>
      </c>
    </row>
    <row r="30" spans="1:3" ht="15.75" customHeight="1" x14ac:dyDescent="0.2">
      <c r="A30" s="2">
        <v>29</v>
      </c>
      <c r="B30" s="2" t="s">
        <v>57</v>
      </c>
      <c r="C30" s="2" t="s">
        <v>23</v>
      </c>
    </row>
    <row r="31" spans="1:3" ht="15.75" customHeight="1" x14ac:dyDescent="0.2">
      <c r="A31" s="2">
        <v>30</v>
      </c>
      <c r="B31" s="2" t="s">
        <v>58</v>
      </c>
      <c r="C31" s="2" t="s">
        <v>43</v>
      </c>
    </row>
    <row r="32" spans="1:3" ht="15.75" customHeight="1" x14ac:dyDescent="0.2">
      <c r="A32" s="2">
        <v>31</v>
      </c>
      <c r="B32" s="2" t="s">
        <v>59</v>
      </c>
      <c r="C32" s="2" t="s">
        <v>52</v>
      </c>
    </row>
    <row r="33" spans="1:3" ht="15.75" customHeight="1" x14ac:dyDescent="0.2">
      <c r="A33" s="2">
        <v>32</v>
      </c>
      <c r="B33" s="2" t="s">
        <v>60</v>
      </c>
      <c r="C33" s="2" t="s">
        <v>23</v>
      </c>
    </row>
    <row r="34" spans="1:3" ht="15.75" customHeight="1" x14ac:dyDescent="0.2">
      <c r="A34" s="2">
        <v>33</v>
      </c>
      <c r="B34" s="2" t="s">
        <v>61</v>
      </c>
      <c r="C34" s="2" t="s">
        <v>62</v>
      </c>
    </row>
    <row r="35" spans="1:3" ht="15.75" customHeight="1" x14ac:dyDescent="0.2">
      <c r="A35" s="2">
        <v>34</v>
      </c>
      <c r="B35" s="2" t="s">
        <v>63</v>
      </c>
      <c r="C35" s="2" t="s">
        <v>21</v>
      </c>
    </row>
    <row r="36" spans="1:3" ht="15.75" customHeight="1" x14ac:dyDescent="0.2">
      <c r="A36" s="2">
        <v>35</v>
      </c>
      <c r="B36" s="2" t="s">
        <v>64</v>
      </c>
      <c r="C36" s="2" t="s">
        <v>23</v>
      </c>
    </row>
    <row r="37" spans="1:3" ht="15.75" customHeight="1" x14ac:dyDescent="0.2">
      <c r="A37" s="2">
        <v>36</v>
      </c>
      <c r="B37" s="2" t="s">
        <v>65</v>
      </c>
      <c r="C37" s="2" t="s">
        <v>36</v>
      </c>
    </row>
    <row r="38" spans="1:3" ht="15.75" customHeight="1" x14ac:dyDescent="0.2">
      <c r="A38" s="2">
        <v>37</v>
      </c>
      <c r="B38" s="2" t="s">
        <v>66</v>
      </c>
      <c r="C38" s="2" t="s">
        <v>21</v>
      </c>
    </row>
    <row r="39" spans="1:3" ht="15.75" customHeight="1" x14ac:dyDescent="0.2">
      <c r="A39" s="2">
        <v>38</v>
      </c>
      <c r="B39" s="2" t="s">
        <v>67</v>
      </c>
      <c r="C39" s="2" t="s">
        <v>34</v>
      </c>
    </row>
    <row r="40" spans="1:3" ht="15.75" customHeight="1" x14ac:dyDescent="0.2">
      <c r="A40" s="2">
        <v>39</v>
      </c>
      <c r="B40" s="2" t="s">
        <v>68</v>
      </c>
      <c r="C40" s="2" t="s">
        <v>62</v>
      </c>
    </row>
    <row r="41" spans="1:3" ht="15.75" customHeight="1" x14ac:dyDescent="0.2">
      <c r="A41" s="2">
        <v>40</v>
      </c>
      <c r="B41" s="2" t="s">
        <v>69</v>
      </c>
      <c r="C41" s="2" t="s">
        <v>21</v>
      </c>
    </row>
    <row r="42" spans="1:3" ht="15.75" customHeight="1" x14ac:dyDescent="0.2">
      <c r="A42" s="2">
        <v>41</v>
      </c>
      <c r="B42" s="2" t="s">
        <v>70</v>
      </c>
      <c r="C42" s="2" t="s">
        <v>32</v>
      </c>
    </row>
    <row r="43" spans="1:3" ht="15.75" customHeight="1" x14ac:dyDescent="0.2">
      <c r="A43" s="2">
        <v>42</v>
      </c>
      <c r="B43" s="2" t="s">
        <v>71</v>
      </c>
      <c r="C43" s="2" t="s">
        <v>43</v>
      </c>
    </row>
    <row r="44" spans="1:3" ht="15.75" customHeight="1" x14ac:dyDescent="0.2">
      <c r="A44" s="2">
        <v>43</v>
      </c>
      <c r="B44" s="2" t="s">
        <v>72</v>
      </c>
      <c r="C44" s="2" t="s">
        <v>62</v>
      </c>
    </row>
    <row r="45" spans="1:3" ht="15.75" customHeight="1" x14ac:dyDescent="0.2">
      <c r="A45" s="2">
        <v>44</v>
      </c>
      <c r="B45" s="2" t="s">
        <v>73</v>
      </c>
      <c r="C45" s="2" t="s">
        <v>32</v>
      </c>
    </row>
    <row r="46" spans="1:3" ht="15.75" customHeight="1" x14ac:dyDescent="0.2">
      <c r="A46" s="2">
        <v>45</v>
      </c>
      <c r="B46" s="2" t="s">
        <v>74</v>
      </c>
      <c r="C46" s="2" t="s">
        <v>36</v>
      </c>
    </row>
    <row r="47" spans="1:3" ht="15.75" customHeight="1" x14ac:dyDescent="0.2">
      <c r="A47" s="2">
        <v>46</v>
      </c>
      <c r="B47" s="2" t="s">
        <v>75</v>
      </c>
      <c r="C47" s="2" t="s">
        <v>21</v>
      </c>
    </row>
    <row r="48" spans="1:3" ht="15.75" customHeight="1" x14ac:dyDescent="0.2">
      <c r="A48" s="2">
        <v>47</v>
      </c>
      <c r="B48" s="2" t="s">
        <v>76</v>
      </c>
      <c r="C48" s="2" t="s">
        <v>21</v>
      </c>
    </row>
    <row r="49" spans="1:3" ht="15.75" customHeight="1" x14ac:dyDescent="0.2">
      <c r="A49" s="2">
        <v>48</v>
      </c>
      <c r="B49" s="2" t="s">
        <v>77</v>
      </c>
      <c r="C49" s="2" t="s">
        <v>43</v>
      </c>
    </row>
    <row r="50" spans="1:3" ht="15.75" customHeight="1" x14ac:dyDescent="0.2">
      <c r="A50" s="2">
        <v>49</v>
      </c>
      <c r="B50" s="2" t="s">
        <v>78</v>
      </c>
      <c r="C50" s="2" t="s">
        <v>26</v>
      </c>
    </row>
    <row r="51" spans="1:3" ht="12.75" x14ac:dyDescent="0.2">
      <c r="A51" s="2">
        <v>50</v>
      </c>
      <c r="B51" s="2" t="s">
        <v>79</v>
      </c>
      <c r="C51" s="2" t="s">
        <v>34</v>
      </c>
    </row>
    <row r="52" spans="1:3" ht="12.75" x14ac:dyDescent="0.2">
      <c r="A52" s="2">
        <v>51</v>
      </c>
      <c r="B52" s="2" t="s">
        <v>80</v>
      </c>
      <c r="C52" s="2" t="s">
        <v>36</v>
      </c>
    </row>
    <row r="53" spans="1:3" ht="12.75" x14ac:dyDescent="0.2">
      <c r="A53" s="2">
        <v>52</v>
      </c>
      <c r="B53" s="2" t="s">
        <v>81</v>
      </c>
      <c r="C53" s="2" t="s">
        <v>38</v>
      </c>
    </row>
    <row r="54" spans="1:3" ht="12.75" x14ac:dyDescent="0.2">
      <c r="A54" s="2">
        <v>53</v>
      </c>
      <c r="B54" s="2" t="s">
        <v>82</v>
      </c>
      <c r="C54" s="2" t="s">
        <v>34</v>
      </c>
    </row>
    <row r="55" spans="1:3" ht="12.75" x14ac:dyDescent="0.2">
      <c r="A55" s="2">
        <v>54</v>
      </c>
      <c r="B55" s="2" t="s">
        <v>83</v>
      </c>
      <c r="C55" s="2" t="s">
        <v>21</v>
      </c>
    </row>
    <row r="56" spans="1:3" ht="12.75" x14ac:dyDescent="0.2">
      <c r="A56" s="2">
        <v>55</v>
      </c>
      <c r="B56" s="2" t="s">
        <v>84</v>
      </c>
      <c r="C56" s="2" t="s">
        <v>34</v>
      </c>
    </row>
    <row r="57" spans="1:3" ht="12.75" x14ac:dyDescent="0.2">
      <c r="A57" s="2">
        <v>56</v>
      </c>
      <c r="B57" s="2" t="s">
        <v>85</v>
      </c>
      <c r="C57" s="2" t="s">
        <v>26</v>
      </c>
    </row>
    <row r="58" spans="1:3" ht="12.75" x14ac:dyDescent="0.2">
      <c r="A58" s="2">
        <v>57</v>
      </c>
      <c r="B58" s="2" t="s">
        <v>86</v>
      </c>
      <c r="C58" s="2" t="s">
        <v>38</v>
      </c>
    </row>
    <row r="59" spans="1:3" ht="12.75" x14ac:dyDescent="0.2">
      <c r="A59" s="2">
        <v>58</v>
      </c>
      <c r="B59" s="2" t="s">
        <v>87</v>
      </c>
      <c r="C59" s="2" t="s">
        <v>21</v>
      </c>
    </row>
    <row r="60" spans="1:3" ht="12.75" x14ac:dyDescent="0.2">
      <c r="A60" s="2">
        <v>59</v>
      </c>
      <c r="B60" s="2" t="s">
        <v>88</v>
      </c>
      <c r="C60" s="2" t="s">
        <v>62</v>
      </c>
    </row>
    <row r="61" spans="1:3" ht="12.75" x14ac:dyDescent="0.2">
      <c r="A61" s="2">
        <v>60</v>
      </c>
      <c r="B61" s="2" t="s">
        <v>89</v>
      </c>
      <c r="C61" s="2" t="s">
        <v>32</v>
      </c>
    </row>
    <row r="62" spans="1:3" ht="12.75" x14ac:dyDescent="0.2">
      <c r="A62" s="2">
        <v>61</v>
      </c>
      <c r="B62" s="2" t="s">
        <v>90</v>
      </c>
      <c r="C62" s="2" t="s">
        <v>38</v>
      </c>
    </row>
    <row r="63" spans="1:3" ht="12.75" x14ac:dyDescent="0.2">
      <c r="A63" s="2">
        <v>62</v>
      </c>
      <c r="B63" s="2" t="s">
        <v>91</v>
      </c>
      <c r="C63" s="2" t="s">
        <v>21</v>
      </c>
    </row>
    <row r="64" spans="1:3" ht="12.75" x14ac:dyDescent="0.2">
      <c r="A64" s="2">
        <v>63</v>
      </c>
      <c r="B64" s="2" t="s">
        <v>92</v>
      </c>
      <c r="C64" s="2" t="s">
        <v>62</v>
      </c>
    </row>
    <row r="65" spans="1:3" ht="12.75" x14ac:dyDescent="0.2">
      <c r="A65" s="2">
        <v>64</v>
      </c>
      <c r="B65" s="2" t="s">
        <v>93</v>
      </c>
      <c r="C65" s="2" t="s">
        <v>23</v>
      </c>
    </row>
    <row r="66" spans="1:3" ht="12.75" x14ac:dyDescent="0.2">
      <c r="A66" s="2">
        <v>65</v>
      </c>
      <c r="B66" s="2" t="s">
        <v>94</v>
      </c>
      <c r="C66" s="2" t="s">
        <v>38</v>
      </c>
    </row>
    <row r="67" spans="1:3" ht="12.75" x14ac:dyDescent="0.2">
      <c r="A67" s="2">
        <v>66</v>
      </c>
      <c r="B67" s="2" t="s">
        <v>95</v>
      </c>
      <c r="C67" s="2" t="s">
        <v>21</v>
      </c>
    </row>
    <row r="68" spans="1:3" ht="12.75" x14ac:dyDescent="0.2">
      <c r="A68" s="2">
        <v>67</v>
      </c>
      <c r="B68" s="2" t="s">
        <v>96</v>
      </c>
      <c r="C68" s="2" t="s">
        <v>36</v>
      </c>
    </row>
    <row r="69" spans="1:3" ht="12.75" x14ac:dyDescent="0.2">
      <c r="A69" s="2">
        <v>68</v>
      </c>
      <c r="B69" s="2" t="s">
        <v>97</v>
      </c>
      <c r="C69" s="2" t="s">
        <v>23</v>
      </c>
    </row>
    <row r="70" spans="1:3" ht="12.75" x14ac:dyDescent="0.2">
      <c r="A70" s="2">
        <v>69</v>
      </c>
      <c r="B70" s="2" t="s">
        <v>98</v>
      </c>
      <c r="C70" s="2" t="s">
        <v>38</v>
      </c>
    </row>
    <row r="71" spans="1:3" ht="12.75" x14ac:dyDescent="0.2">
      <c r="A71" s="2">
        <v>70</v>
      </c>
      <c r="B71" s="2" t="s">
        <v>99</v>
      </c>
      <c r="C71" s="2" t="s">
        <v>21</v>
      </c>
    </row>
    <row r="72" spans="1:3" ht="12.75" x14ac:dyDescent="0.2">
      <c r="A72" s="2">
        <v>71</v>
      </c>
      <c r="B72" s="2" t="s">
        <v>100</v>
      </c>
      <c r="C72" s="2" t="s">
        <v>62</v>
      </c>
    </row>
    <row r="73" spans="1:3" ht="12.75" x14ac:dyDescent="0.2">
      <c r="A73" s="2">
        <v>72</v>
      </c>
      <c r="B73" s="2" t="s">
        <v>101</v>
      </c>
      <c r="C73" s="2" t="s">
        <v>32</v>
      </c>
    </row>
    <row r="74" spans="1:3" ht="12.75" x14ac:dyDescent="0.2">
      <c r="A74" s="2">
        <v>73</v>
      </c>
      <c r="B74" s="2" t="s">
        <v>102</v>
      </c>
      <c r="C74" s="2" t="s">
        <v>23</v>
      </c>
    </row>
    <row r="75" spans="1:3" ht="12.75" x14ac:dyDescent="0.2">
      <c r="A75" s="2">
        <v>74</v>
      </c>
      <c r="B75" s="2" t="s">
        <v>103</v>
      </c>
      <c r="C75" s="2" t="s">
        <v>26</v>
      </c>
    </row>
    <row r="76" spans="1:3" ht="12.75" x14ac:dyDescent="0.2">
      <c r="A76" s="2">
        <v>75</v>
      </c>
      <c r="B76" s="2" t="s">
        <v>104</v>
      </c>
      <c r="C76" s="2" t="s">
        <v>21</v>
      </c>
    </row>
    <row r="77" spans="1:3" ht="12.75" x14ac:dyDescent="0.2">
      <c r="A77" s="2">
        <v>76</v>
      </c>
      <c r="B77" s="2" t="s">
        <v>105</v>
      </c>
      <c r="C77" s="2" t="s">
        <v>38</v>
      </c>
    </row>
    <row r="78" spans="1:3" ht="12.75" x14ac:dyDescent="0.2">
      <c r="A78" s="2">
        <v>77</v>
      </c>
      <c r="B78" s="2" t="s">
        <v>106</v>
      </c>
      <c r="C78" s="2" t="s">
        <v>32</v>
      </c>
    </row>
    <row r="79" spans="1:3" ht="12.75" x14ac:dyDescent="0.2">
      <c r="A79" s="2">
        <v>78</v>
      </c>
      <c r="B79" s="2" t="s">
        <v>107</v>
      </c>
      <c r="C79" s="2" t="s">
        <v>23</v>
      </c>
    </row>
    <row r="80" spans="1:3" ht="12.75" x14ac:dyDescent="0.2">
      <c r="A80" s="2">
        <v>79</v>
      </c>
      <c r="B80" s="2" t="s">
        <v>108</v>
      </c>
      <c r="C80" s="2" t="s">
        <v>26</v>
      </c>
    </row>
    <row r="81" spans="1:3" ht="12.75" x14ac:dyDescent="0.2">
      <c r="A81" s="2">
        <v>80</v>
      </c>
      <c r="B81" s="2" t="s">
        <v>109</v>
      </c>
      <c r="C81" s="2" t="s">
        <v>21</v>
      </c>
    </row>
    <row r="82" spans="1:3" ht="12.75" x14ac:dyDescent="0.2">
      <c r="A82" s="2">
        <v>81</v>
      </c>
      <c r="B82" s="2" t="s">
        <v>110</v>
      </c>
      <c r="C82" s="2" t="s">
        <v>23</v>
      </c>
    </row>
    <row r="83" spans="1:3" ht="12.75" x14ac:dyDescent="0.2">
      <c r="A83" s="2">
        <v>82</v>
      </c>
      <c r="B83" s="2" t="s">
        <v>111</v>
      </c>
      <c r="C83" s="2" t="s">
        <v>52</v>
      </c>
    </row>
    <row r="84" spans="1:3" ht="12.75" x14ac:dyDescent="0.2">
      <c r="A84" s="2">
        <v>83</v>
      </c>
      <c r="B84" s="2" t="s">
        <v>112</v>
      </c>
      <c r="C84" s="2" t="s">
        <v>52</v>
      </c>
    </row>
    <row r="85" spans="1:3" ht="12.75" x14ac:dyDescent="0.2">
      <c r="A85" s="2">
        <v>84</v>
      </c>
      <c r="B85" s="2" t="s">
        <v>113</v>
      </c>
      <c r="C85" s="2" t="s">
        <v>21</v>
      </c>
    </row>
    <row r="86" spans="1:3" ht="12.75" x14ac:dyDescent="0.2">
      <c r="A86" s="2">
        <v>85</v>
      </c>
      <c r="B86" s="2" t="s">
        <v>114</v>
      </c>
      <c r="C86" s="2" t="s">
        <v>32</v>
      </c>
    </row>
    <row r="87" spans="1:3" ht="12.75" x14ac:dyDescent="0.2">
      <c r="A87" s="2">
        <v>86</v>
      </c>
      <c r="B87" s="2" t="s">
        <v>115</v>
      </c>
      <c r="C87" s="2" t="s">
        <v>43</v>
      </c>
    </row>
    <row r="88" spans="1:3" ht="12.75" x14ac:dyDescent="0.2">
      <c r="A88" s="2">
        <v>87</v>
      </c>
      <c r="B88" s="2" t="s">
        <v>116</v>
      </c>
      <c r="C88" s="2" t="s">
        <v>23</v>
      </c>
    </row>
    <row r="89" spans="1:3" ht="12.75" x14ac:dyDescent="0.2">
      <c r="A89" s="2">
        <v>88</v>
      </c>
      <c r="B89" s="2" t="s">
        <v>117</v>
      </c>
      <c r="C89" s="2" t="s">
        <v>23</v>
      </c>
    </row>
    <row r="90" spans="1:3" ht="12.75" x14ac:dyDescent="0.2">
      <c r="A90" s="2">
        <v>89</v>
      </c>
      <c r="B90" s="2" t="s">
        <v>118</v>
      </c>
      <c r="C90" s="2" t="s">
        <v>43</v>
      </c>
    </row>
    <row r="91" spans="1:3" ht="12.75" x14ac:dyDescent="0.2">
      <c r="A91" s="2">
        <v>90</v>
      </c>
      <c r="B91" s="2" t="s">
        <v>119</v>
      </c>
      <c r="C91" s="2" t="s">
        <v>36</v>
      </c>
    </row>
    <row r="92" spans="1:3" ht="12.75" x14ac:dyDescent="0.2">
      <c r="A92" s="2">
        <v>91</v>
      </c>
      <c r="B92" s="2" t="s">
        <v>120</v>
      </c>
      <c r="C92" s="2" t="s">
        <v>43</v>
      </c>
    </row>
    <row r="93" spans="1:3" ht="12.75" x14ac:dyDescent="0.2">
      <c r="A93" s="2">
        <v>92</v>
      </c>
      <c r="B93" s="2" t="s">
        <v>121</v>
      </c>
      <c r="C93" s="2" t="s">
        <v>32</v>
      </c>
    </row>
    <row r="94" spans="1:3" ht="12.75" x14ac:dyDescent="0.2">
      <c r="A94" s="2">
        <v>93</v>
      </c>
      <c r="B94" s="2" t="s">
        <v>122</v>
      </c>
      <c r="C94" s="2" t="s">
        <v>26</v>
      </c>
    </row>
    <row r="95" spans="1:3" ht="12.75" x14ac:dyDescent="0.2">
      <c r="A95" s="2">
        <v>94</v>
      </c>
      <c r="B95" s="2" t="s">
        <v>123</v>
      </c>
      <c r="C95" s="2" t="s">
        <v>26</v>
      </c>
    </row>
    <row r="96" spans="1:3" ht="12.75" x14ac:dyDescent="0.2">
      <c r="A96" s="2">
        <v>95</v>
      </c>
      <c r="B96" s="2" t="s">
        <v>124</v>
      </c>
      <c r="C96" s="2" t="s">
        <v>34</v>
      </c>
    </row>
    <row r="97" spans="1:3" ht="12.75" x14ac:dyDescent="0.2">
      <c r="A97" s="2">
        <v>96</v>
      </c>
      <c r="B97" s="2" t="s">
        <v>125</v>
      </c>
      <c r="C97" s="2" t="s">
        <v>62</v>
      </c>
    </row>
    <row r="98" spans="1:3" ht="12.75" x14ac:dyDescent="0.2">
      <c r="A98" s="2">
        <v>97</v>
      </c>
      <c r="B98" s="2" t="s">
        <v>126</v>
      </c>
      <c r="C98" s="2" t="s">
        <v>34</v>
      </c>
    </row>
    <row r="99" spans="1:3" ht="12.75" x14ac:dyDescent="0.2">
      <c r="A99" s="2">
        <v>98</v>
      </c>
      <c r="B99" s="2" t="s">
        <v>127</v>
      </c>
      <c r="C99" s="2" t="s">
        <v>43</v>
      </c>
    </row>
    <row r="100" spans="1:3" ht="12.75" x14ac:dyDescent="0.2">
      <c r="A100" s="2">
        <v>99</v>
      </c>
      <c r="B100" s="2" t="s">
        <v>128</v>
      </c>
      <c r="C100" s="2" t="s">
        <v>52</v>
      </c>
    </row>
    <row r="101" spans="1:3" ht="12.75" x14ac:dyDescent="0.2">
      <c r="A101" s="2">
        <v>100</v>
      </c>
      <c r="B101" s="2" t="s">
        <v>129</v>
      </c>
      <c r="C101" s="2" t="s">
        <v>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01"/>
  <sheetViews>
    <sheetView workbookViewId="0">
      <selection activeCell="H9" sqref="H9"/>
    </sheetView>
  </sheetViews>
  <sheetFormatPr defaultColWidth="12.7109375" defaultRowHeight="15.75" customHeight="1" x14ac:dyDescent="0.2"/>
  <cols>
    <col min="1" max="1" width="10.7109375" customWidth="1"/>
    <col min="2" max="2" width="13" customWidth="1"/>
    <col min="3" max="3" width="14.140625" customWidth="1"/>
    <col min="4" max="4" width="15" customWidth="1"/>
  </cols>
  <sheetData>
    <row r="1" spans="1:26" ht="15.75" customHeight="1" x14ac:dyDescent="0.2">
      <c r="A1" s="1" t="s">
        <v>15</v>
      </c>
      <c r="B1" s="1" t="s">
        <v>130</v>
      </c>
      <c r="C1" s="1" t="s">
        <v>18</v>
      </c>
      <c r="D1" s="1" t="s">
        <v>131</v>
      </c>
      <c r="E1" s="1"/>
      <c r="F1" s="1"/>
      <c r="G1" s="1"/>
      <c r="H1" s="1"/>
      <c r="I1" s="1"/>
      <c r="J1" s="1"/>
      <c r="K1" s="1"/>
      <c r="L1" s="1"/>
      <c r="M1" s="1"/>
      <c r="N1" s="1"/>
      <c r="O1" s="1"/>
      <c r="P1" s="1"/>
      <c r="Q1" s="1"/>
      <c r="R1" s="1"/>
      <c r="S1" s="1"/>
      <c r="T1" s="1"/>
      <c r="U1" s="1"/>
      <c r="V1" s="1"/>
      <c r="W1" s="1"/>
      <c r="X1" s="1"/>
      <c r="Y1" s="1"/>
      <c r="Z1" s="1"/>
    </row>
    <row r="2" spans="1:26" ht="15.75" customHeight="1" x14ac:dyDescent="0.2">
      <c r="A2" s="2">
        <v>1</v>
      </c>
      <c r="B2" s="3">
        <v>45196</v>
      </c>
      <c r="C2" s="2">
        <v>67</v>
      </c>
      <c r="D2" s="2">
        <v>45000</v>
      </c>
    </row>
    <row r="3" spans="1:26" ht="15.75" customHeight="1" x14ac:dyDescent="0.2">
      <c r="A3" s="2">
        <v>2</v>
      </c>
      <c r="B3" s="3">
        <v>45249</v>
      </c>
      <c r="C3" s="2">
        <v>98</v>
      </c>
      <c r="D3" s="2">
        <v>16000</v>
      </c>
    </row>
    <row r="4" spans="1:26" ht="15.75" customHeight="1" x14ac:dyDescent="0.2">
      <c r="A4" s="2">
        <v>3</v>
      </c>
      <c r="B4" s="3">
        <v>45280</v>
      </c>
      <c r="C4" s="2">
        <v>46</v>
      </c>
      <c r="D4" s="2">
        <v>260000</v>
      </c>
    </row>
    <row r="5" spans="1:26" ht="15.75" customHeight="1" x14ac:dyDescent="0.2">
      <c r="A5" s="2">
        <v>4</v>
      </c>
      <c r="B5" s="3">
        <v>45045</v>
      </c>
      <c r="C5" s="2">
        <v>83</v>
      </c>
      <c r="D5" s="2">
        <v>27000</v>
      </c>
    </row>
    <row r="6" spans="1:26" ht="15.75" customHeight="1" x14ac:dyDescent="0.2">
      <c r="A6" s="2">
        <v>5</v>
      </c>
      <c r="B6" s="3">
        <v>45021</v>
      </c>
      <c r="C6" s="2">
        <v>99</v>
      </c>
      <c r="D6" s="2">
        <v>221000</v>
      </c>
    </row>
    <row r="7" spans="1:26" ht="15.75" customHeight="1" x14ac:dyDescent="0.2">
      <c r="A7" s="2">
        <v>6</v>
      </c>
      <c r="B7" s="3">
        <v>45075</v>
      </c>
      <c r="C7" s="2">
        <v>59</v>
      </c>
      <c r="D7" s="2">
        <v>120000</v>
      </c>
    </row>
    <row r="8" spans="1:26" ht="15.75" customHeight="1" x14ac:dyDescent="0.2">
      <c r="A8" s="2">
        <v>7</v>
      </c>
      <c r="B8" s="3">
        <v>45042</v>
      </c>
      <c r="C8" s="2">
        <v>68</v>
      </c>
      <c r="D8" s="2">
        <v>30000</v>
      </c>
    </row>
    <row r="9" spans="1:26" ht="15.75" customHeight="1" x14ac:dyDescent="0.2">
      <c r="A9" s="2">
        <v>8</v>
      </c>
      <c r="B9" s="3">
        <v>45144</v>
      </c>
      <c r="C9" s="2">
        <v>24</v>
      </c>
      <c r="D9" s="2">
        <v>64000</v>
      </c>
    </row>
    <row r="10" spans="1:26" ht="15.75" customHeight="1" x14ac:dyDescent="0.2">
      <c r="A10" s="2">
        <v>9</v>
      </c>
      <c r="B10" s="3">
        <v>45277</v>
      </c>
      <c r="C10" s="2">
        <v>61</v>
      </c>
      <c r="D10" s="2">
        <v>250000</v>
      </c>
    </row>
    <row r="11" spans="1:26" ht="15.75" customHeight="1" x14ac:dyDescent="0.2">
      <c r="A11" s="2">
        <v>10</v>
      </c>
      <c r="B11" s="3">
        <v>45203</v>
      </c>
      <c r="C11" s="2">
        <v>38</v>
      </c>
      <c r="D11" s="2">
        <v>53000</v>
      </c>
    </row>
    <row r="12" spans="1:26" ht="15.75" customHeight="1" x14ac:dyDescent="0.2">
      <c r="A12" s="2">
        <v>11</v>
      </c>
      <c r="B12" s="3">
        <v>45215</v>
      </c>
      <c r="C12" s="2">
        <v>95</v>
      </c>
      <c r="D12" s="2">
        <v>129000</v>
      </c>
    </row>
    <row r="13" spans="1:26" ht="15.75" customHeight="1" x14ac:dyDescent="0.2">
      <c r="A13" s="2">
        <v>12</v>
      </c>
      <c r="B13" s="3">
        <v>45137</v>
      </c>
      <c r="C13" s="2">
        <v>78</v>
      </c>
      <c r="D13" s="2">
        <v>15000</v>
      </c>
    </row>
    <row r="14" spans="1:26" ht="15.75" customHeight="1" x14ac:dyDescent="0.2">
      <c r="A14" s="2">
        <v>13</v>
      </c>
      <c r="B14" s="3">
        <v>45275</v>
      </c>
      <c r="C14" s="2">
        <v>24</v>
      </c>
      <c r="D14" s="2">
        <v>158000</v>
      </c>
    </row>
    <row r="15" spans="1:26" ht="15.75" customHeight="1" x14ac:dyDescent="0.2">
      <c r="A15" s="2">
        <v>14</v>
      </c>
      <c r="B15" s="3">
        <v>45023</v>
      </c>
      <c r="C15" s="2">
        <v>17</v>
      </c>
      <c r="D15" s="2">
        <v>72000</v>
      </c>
    </row>
    <row r="16" spans="1:26" ht="15.75" customHeight="1" x14ac:dyDescent="0.2">
      <c r="A16" s="2">
        <v>15</v>
      </c>
      <c r="B16" s="3">
        <v>45055</v>
      </c>
      <c r="C16" s="2">
        <v>58</v>
      </c>
      <c r="D16" s="2">
        <v>21000</v>
      </c>
    </row>
    <row r="17" spans="1:4" ht="15.75" customHeight="1" x14ac:dyDescent="0.2">
      <c r="A17" s="2">
        <v>16</v>
      </c>
      <c r="B17" s="3">
        <v>45196</v>
      </c>
      <c r="C17" s="2">
        <v>36</v>
      </c>
      <c r="D17" s="2">
        <v>340000</v>
      </c>
    </row>
    <row r="18" spans="1:4" ht="15.75" customHeight="1" x14ac:dyDescent="0.2">
      <c r="A18" s="2">
        <v>17</v>
      </c>
      <c r="B18" s="3">
        <v>45138</v>
      </c>
      <c r="C18" s="2">
        <v>68</v>
      </c>
      <c r="D18" s="2">
        <v>36000</v>
      </c>
    </row>
    <row r="19" spans="1:4" ht="15.75" customHeight="1" x14ac:dyDescent="0.2">
      <c r="A19" s="2">
        <v>18</v>
      </c>
      <c r="B19" s="3">
        <v>45176</v>
      </c>
      <c r="C19" s="2">
        <v>78</v>
      </c>
      <c r="D19" s="2">
        <v>282000</v>
      </c>
    </row>
    <row r="20" spans="1:4" ht="15.75" customHeight="1" x14ac:dyDescent="0.2">
      <c r="A20" s="2">
        <v>19</v>
      </c>
      <c r="B20" s="3">
        <v>45064</v>
      </c>
      <c r="C20" s="2">
        <v>22</v>
      </c>
      <c r="D20" s="2">
        <v>128000</v>
      </c>
    </row>
    <row r="21" spans="1:4" ht="15.75" customHeight="1" x14ac:dyDescent="0.2">
      <c r="A21" s="2">
        <v>20</v>
      </c>
      <c r="B21" s="3">
        <v>45092</v>
      </c>
      <c r="C21" s="2">
        <v>61</v>
      </c>
      <c r="D21" s="2">
        <v>23000</v>
      </c>
    </row>
    <row r="22" spans="1:4" ht="15.75" customHeight="1" x14ac:dyDescent="0.2">
      <c r="A22" s="2">
        <v>21</v>
      </c>
      <c r="B22" s="3">
        <v>45028</v>
      </c>
      <c r="C22" s="2">
        <v>28</v>
      </c>
      <c r="D22" s="2">
        <v>18000</v>
      </c>
    </row>
    <row r="23" spans="1:4" ht="15.75" customHeight="1" x14ac:dyDescent="0.2">
      <c r="A23" s="2">
        <v>22</v>
      </c>
      <c r="B23" s="3">
        <v>45165</v>
      </c>
      <c r="C23" s="2">
        <v>39</v>
      </c>
      <c r="D23" s="2">
        <v>37000</v>
      </c>
    </row>
    <row r="24" spans="1:4" ht="15.75" customHeight="1" x14ac:dyDescent="0.2">
      <c r="A24" s="2">
        <v>23</v>
      </c>
      <c r="B24" s="3">
        <v>45070</v>
      </c>
      <c r="C24" s="2">
        <v>48</v>
      </c>
      <c r="D24" s="2">
        <v>12000</v>
      </c>
    </row>
    <row r="25" spans="1:4" ht="15.75" customHeight="1" x14ac:dyDescent="0.2">
      <c r="A25" s="2">
        <v>24</v>
      </c>
      <c r="B25" s="3">
        <v>45058</v>
      </c>
      <c r="C25" s="2">
        <v>83</v>
      </c>
      <c r="D25" s="2">
        <v>91000</v>
      </c>
    </row>
    <row r="26" spans="1:4" ht="15.75" customHeight="1" x14ac:dyDescent="0.2">
      <c r="A26" s="2">
        <v>25</v>
      </c>
      <c r="B26" s="3">
        <v>45067</v>
      </c>
      <c r="C26" s="2">
        <v>86</v>
      </c>
      <c r="D26" s="2">
        <v>51000</v>
      </c>
    </row>
    <row r="27" spans="1:4" ht="15.75" customHeight="1" x14ac:dyDescent="0.2">
      <c r="A27" s="2">
        <v>26</v>
      </c>
      <c r="B27" s="3">
        <v>45047</v>
      </c>
      <c r="C27" s="2">
        <v>23</v>
      </c>
      <c r="D27" s="2">
        <v>24000</v>
      </c>
    </row>
    <row r="28" spans="1:4" ht="15.75" customHeight="1" x14ac:dyDescent="0.2">
      <c r="A28" s="2">
        <v>27</v>
      </c>
      <c r="B28" s="3">
        <v>45224</v>
      </c>
      <c r="C28" s="2">
        <v>84</v>
      </c>
      <c r="D28" s="2">
        <v>66000</v>
      </c>
    </row>
    <row r="29" spans="1:4" ht="15.75" customHeight="1" x14ac:dyDescent="0.2">
      <c r="A29" s="2">
        <v>28</v>
      </c>
      <c r="B29" s="3">
        <v>45340</v>
      </c>
      <c r="C29" s="2">
        <v>52</v>
      </c>
      <c r="D29" s="2">
        <v>9000</v>
      </c>
    </row>
    <row r="30" spans="1:4" ht="15.75" customHeight="1" x14ac:dyDescent="0.2">
      <c r="A30" s="2">
        <v>29</v>
      </c>
      <c r="B30" s="3">
        <v>45234</v>
      </c>
      <c r="C30" s="2">
        <v>11</v>
      </c>
      <c r="D30" s="2">
        <v>15000</v>
      </c>
    </row>
    <row r="31" spans="1:4" ht="15.75" customHeight="1" x14ac:dyDescent="0.2">
      <c r="A31" s="2">
        <v>30</v>
      </c>
      <c r="B31" s="3">
        <v>45179</v>
      </c>
      <c r="C31" s="2">
        <v>9</v>
      </c>
      <c r="D31" s="2">
        <v>12000</v>
      </c>
    </row>
    <row r="32" spans="1:4" ht="15.75" customHeight="1" x14ac:dyDescent="0.2">
      <c r="A32" s="2">
        <v>31</v>
      </c>
      <c r="B32" s="3">
        <v>45151</v>
      </c>
      <c r="C32" s="2">
        <v>49</v>
      </c>
      <c r="D32" s="2">
        <v>85000</v>
      </c>
    </row>
    <row r="33" spans="1:4" ht="15.75" customHeight="1" x14ac:dyDescent="0.2">
      <c r="A33" s="2">
        <v>32</v>
      </c>
      <c r="B33" s="3">
        <v>45126</v>
      </c>
      <c r="C33" s="2">
        <v>95</v>
      </c>
      <c r="D33" s="2">
        <v>135000</v>
      </c>
    </row>
    <row r="34" spans="1:4" ht="15.75" customHeight="1" x14ac:dyDescent="0.2">
      <c r="A34" s="2">
        <v>33</v>
      </c>
      <c r="B34" s="3">
        <v>45240</v>
      </c>
      <c r="C34" s="2">
        <v>7</v>
      </c>
      <c r="D34" s="2">
        <v>12000</v>
      </c>
    </row>
    <row r="35" spans="1:4" ht="15.75" customHeight="1" x14ac:dyDescent="0.2">
      <c r="A35" s="2">
        <v>34</v>
      </c>
      <c r="B35" s="3">
        <v>45226</v>
      </c>
      <c r="C35" s="2">
        <v>57</v>
      </c>
      <c r="D35" s="2">
        <v>40000</v>
      </c>
    </row>
    <row r="36" spans="1:4" ht="15.75" customHeight="1" x14ac:dyDescent="0.2">
      <c r="A36" s="2">
        <v>35</v>
      </c>
      <c r="B36" s="3">
        <v>45111</v>
      </c>
      <c r="C36" s="2">
        <v>14</v>
      </c>
      <c r="D36" s="2">
        <v>5000</v>
      </c>
    </row>
    <row r="37" spans="1:4" ht="15.75" customHeight="1" x14ac:dyDescent="0.2">
      <c r="A37" s="2">
        <v>36</v>
      </c>
      <c r="B37" s="3">
        <v>45120</v>
      </c>
      <c r="C37" s="2">
        <v>16</v>
      </c>
      <c r="D37" s="2">
        <v>15000</v>
      </c>
    </row>
    <row r="38" spans="1:4" ht="15.75" customHeight="1" x14ac:dyDescent="0.2">
      <c r="A38" s="2">
        <v>37</v>
      </c>
      <c r="B38" s="3">
        <v>45289</v>
      </c>
      <c r="C38" s="2">
        <v>4</v>
      </c>
      <c r="D38" s="2">
        <v>260000</v>
      </c>
    </row>
    <row r="39" spans="1:4" ht="15.75" customHeight="1" x14ac:dyDescent="0.2">
      <c r="A39" s="2">
        <v>38</v>
      </c>
      <c r="B39" s="3">
        <v>45155</v>
      </c>
      <c r="C39" s="2">
        <v>59</v>
      </c>
      <c r="D39" s="2">
        <v>324000</v>
      </c>
    </row>
    <row r="40" spans="1:4" ht="15.75" customHeight="1" x14ac:dyDescent="0.2">
      <c r="A40" s="2">
        <v>39</v>
      </c>
      <c r="B40" s="3">
        <v>45115</v>
      </c>
      <c r="C40" s="2">
        <v>16</v>
      </c>
      <c r="D40" s="2">
        <v>50000</v>
      </c>
    </row>
    <row r="41" spans="1:4" ht="15.75" customHeight="1" x14ac:dyDescent="0.2">
      <c r="A41" s="2">
        <v>40</v>
      </c>
      <c r="B41" s="3">
        <v>45253</v>
      </c>
      <c r="C41" s="2">
        <v>99</v>
      </c>
      <c r="D41" s="2">
        <v>48000</v>
      </c>
    </row>
    <row r="42" spans="1:4" ht="15.75" customHeight="1" x14ac:dyDescent="0.2">
      <c r="A42" s="2">
        <v>41</v>
      </c>
      <c r="B42" s="3">
        <v>45001</v>
      </c>
      <c r="C42" s="2">
        <v>91</v>
      </c>
      <c r="D42" s="2">
        <v>39000</v>
      </c>
    </row>
    <row r="43" spans="1:4" ht="15.75" customHeight="1" x14ac:dyDescent="0.2">
      <c r="A43" s="2">
        <v>42</v>
      </c>
      <c r="B43" s="3">
        <v>45341</v>
      </c>
      <c r="C43" s="2">
        <v>88</v>
      </c>
      <c r="D43" s="2">
        <v>33000</v>
      </c>
    </row>
    <row r="44" spans="1:4" ht="15.75" customHeight="1" x14ac:dyDescent="0.2">
      <c r="A44" s="2">
        <v>43</v>
      </c>
      <c r="B44" s="3">
        <v>45299</v>
      </c>
      <c r="C44" s="2">
        <v>11</v>
      </c>
      <c r="D44" s="2">
        <v>51000</v>
      </c>
    </row>
    <row r="45" spans="1:4" ht="15.75" customHeight="1" x14ac:dyDescent="0.2">
      <c r="A45" s="2">
        <v>44</v>
      </c>
      <c r="B45" s="3">
        <v>45035</v>
      </c>
      <c r="C45" s="2">
        <v>88</v>
      </c>
      <c r="D45" s="2">
        <v>213000</v>
      </c>
    </row>
    <row r="46" spans="1:4" ht="15.75" customHeight="1" x14ac:dyDescent="0.2">
      <c r="A46" s="2">
        <v>45</v>
      </c>
      <c r="B46" s="3">
        <v>45195</v>
      </c>
      <c r="C46" s="2">
        <v>22</v>
      </c>
      <c r="D46" s="2">
        <v>45000</v>
      </c>
    </row>
    <row r="47" spans="1:4" ht="15.75" customHeight="1" x14ac:dyDescent="0.2">
      <c r="A47" s="2">
        <v>46</v>
      </c>
      <c r="B47" s="3">
        <v>45025</v>
      </c>
      <c r="C47" s="2">
        <v>87</v>
      </c>
      <c r="D47" s="2">
        <v>69000</v>
      </c>
    </row>
    <row r="48" spans="1:4" ht="15.75" customHeight="1" x14ac:dyDescent="0.2">
      <c r="A48" s="2">
        <v>47</v>
      </c>
      <c r="B48" s="3">
        <v>45231</v>
      </c>
      <c r="C48" s="2">
        <v>100</v>
      </c>
      <c r="D48" s="2">
        <v>7000</v>
      </c>
    </row>
    <row r="49" spans="1:4" ht="15.75" customHeight="1" x14ac:dyDescent="0.2">
      <c r="A49" s="2">
        <v>48</v>
      </c>
      <c r="B49" s="3">
        <v>45110</v>
      </c>
      <c r="C49" s="2">
        <v>68</v>
      </c>
      <c r="D49" s="2">
        <v>186000</v>
      </c>
    </row>
    <row r="50" spans="1:4" ht="15.75" customHeight="1" x14ac:dyDescent="0.2">
      <c r="A50" s="2">
        <v>49</v>
      </c>
      <c r="B50" s="3">
        <v>45209</v>
      </c>
      <c r="C50" s="2">
        <v>85</v>
      </c>
      <c r="D50" s="2">
        <v>54000</v>
      </c>
    </row>
    <row r="51" spans="1:4" ht="12.75" x14ac:dyDescent="0.2">
      <c r="A51" s="2">
        <v>50</v>
      </c>
      <c r="B51" s="3">
        <v>45263</v>
      </c>
      <c r="C51" s="2">
        <v>11</v>
      </c>
      <c r="D51" s="2">
        <v>63000</v>
      </c>
    </row>
    <row r="52" spans="1:4" ht="12.75" x14ac:dyDescent="0.2">
      <c r="A52" s="2">
        <v>51</v>
      </c>
      <c r="B52" s="3">
        <v>45273</v>
      </c>
      <c r="C52" s="2">
        <v>20</v>
      </c>
      <c r="D52" s="2">
        <v>176000</v>
      </c>
    </row>
    <row r="53" spans="1:4" ht="12.75" x14ac:dyDescent="0.2">
      <c r="A53" s="2">
        <v>52</v>
      </c>
      <c r="B53" s="3">
        <v>45284</v>
      </c>
      <c r="C53" s="2">
        <v>95</v>
      </c>
      <c r="D53" s="2">
        <v>199000</v>
      </c>
    </row>
    <row r="54" spans="1:4" ht="12.75" x14ac:dyDescent="0.2">
      <c r="A54" s="2">
        <v>53</v>
      </c>
      <c r="B54" s="3">
        <v>45021</v>
      </c>
      <c r="C54" s="2">
        <v>67</v>
      </c>
      <c r="D54" s="2">
        <v>147000</v>
      </c>
    </row>
    <row r="55" spans="1:4" ht="12.75" x14ac:dyDescent="0.2">
      <c r="A55" s="2">
        <v>54</v>
      </c>
      <c r="B55" s="3">
        <v>45230</v>
      </c>
      <c r="C55" s="2">
        <v>28</v>
      </c>
      <c r="D55" s="2">
        <v>198000</v>
      </c>
    </row>
    <row r="56" spans="1:4" ht="12.75" x14ac:dyDescent="0.2">
      <c r="A56" s="2">
        <v>55</v>
      </c>
      <c r="B56" s="3">
        <v>45126</v>
      </c>
      <c r="C56" s="2">
        <v>57</v>
      </c>
      <c r="D56" s="2">
        <v>16000</v>
      </c>
    </row>
    <row r="57" spans="1:4" ht="12.75" x14ac:dyDescent="0.2">
      <c r="A57" s="2">
        <v>56</v>
      </c>
      <c r="B57" s="3">
        <v>45061</v>
      </c>
      <c r="C57" s="2">
        <v>10</v>
      </c>
      <c r="D57" s="2">
        <v>74000</v>
      </c>
    </row>
    <row r="58" spans="1:4" ht="12.75" x14ac:dyDescent="0.2">
      <c r="A58" s="2">
        <v>57</v>
      </c>
      <c r="B58" s="3">
        <v>45193</v>
      </c>
      <c r="C58" s="2">
        <v>64</v>
      </c>
      <c r="D58" s="2">
        <v>224000</v>
      </c>
    </row>
    <row r="59" spans="1:4" ht="12.75" x14ac:dyDescent="0.2">
      <c r="A59" s="2">
        <v>58</v>
      </c>
      <c r="B59" s="3">
        <v>44997</v>
      </c>
      <c r="C59" s="2">
        <v>40</v>
      </c>
      <c r="D59" s="2">
        <v>114000</v>
      </c>
    </row>
    <row r="60" spans="1:4" ht="12.75" x14ac:dyDescent="0.2">
      <c r="A60" s="2">
        <v>59</v>
      </c>
      <c r="B60" s="3">
        <v>45052</v>
      </c>
      <c r="C60" s="2">
        <v>85</v>
      </c>
      <c r="D60" s="2">
        <v>187000</v>
      </c>
    </row>
    <row r="61" spans="1:4" ht="12.75" x14ac:dyDescent="0.2">
      <c r="A61" s="2">
        <v>60</v>
      </c>
      <c r="B61" s="3">
        <v>45028</v>
      </c>
      <c r="C61" s="2">
        <v>23</v>
      </c>
      <c r="D61" s="2">
        <v>177000</v>
      </c>
    </row>
    <row r="62" spans="1:4" ht="12.75" x14ac:dyDescent="0.2">
      <c r="A62" s="2">
        <v>61</v>
      </c>
      <c r="B62" s="3">
        <v>45089</v>
      </c>
      <c r="C62" s="2">
        <v>87</v>
      </c>
      <c r="D62" s="2">
        <v>3000</v>
      </c>
    </row>
    <row r="63" spans="1:4" ht="12.75" x14ac:dyDescent="0.2">
      <c r="A63" s="2">
        <v>62</v>
      </c>
      <c r="B63" s="3">
        <v>45294</v>
      </c>
      <c r="C63" s="2">
        <v>17</v>
      </c>
      <c r="D63" s="2">
        <v>272000</v>
      </c>
    </row>
    <row r="64" spans="1:4" ht="12.75" x14ac:dyDescent="0.2">
      <c r="A64" s="2">
        <v>63</v>
      </c>
      <c r="B64" s="3">
        <v>45164</v>
      </c>
      <c r="C64" s="2">
        <v>85</v>
      </c>
      <c r="D64" s="2">
        <v>74000</v>
      </c>
    </row>
    <row r="65" spans="1:4" ht="12.75" x14ac:dyDescent="0.2">
      <c r="A65" s="2">
        <v>64</v>
      </c>
      <c r="B65" s="3">
        <v>45156</v>
      </c>
      <c r="C65" s="2">
        <v>26</v>
      </c>
      <c r="D65" s="2">
        <v>109000</v>
      </c>
    </row>
    <row r="66" spans="1:4" ht="12.75" x14ac:dyDescent="0.2">
      <c r="A66" s="2">
        <v>65</v>
      </c>
      <c r="B66" s="3">
        <v>45196</v>
      </c>
      <c r="C66" s="2">
        <v>57</v>
      </c>
      <c r="D66" s="2">
        <v>101000</v>
      </c>
    </row>
    <row r="67" spans="1:4" ht="12.75" x14ac:dyDescent="0.2">
      <c r="A67" s="2">
        <v>66</v>
      </c>
      <c r="B67" s="3">
        <v>45172</v>
      </c>
      <c r="C67" s="2">
        <v>17</v>
      </c>
      <c r="D67" s="2">
        <v>235000</v>
      </c>
    </row>
    <row r="68" spans="1:4" ht="12.75" x14ac:dyDescent="0.2">
      <c r="A68" s="2">
        <v>67</v>
      </c>
      <c r="B68" s="3">
        <v>45311</v>
      </c>
      <c r="C68" s="2">
        <v>96</v>
      </c>
      <c r="D68" s="2">
        <v>24000</v>
      </c>
    </row>
    <row r="69" spans="1:4" ht="12.75" x14ac:dyDescent="0.2">
      <c r="A69" s="2">
        <v>68</v>
      </c>
      <c r="B69" s="3">
        <v>45298</v>
      </c>
      <c r="C69" s="2">
        <v>78</v>
      </c>
      <c r="D69" s="2">
        <v>145000</v>
      </c>
    </row>
    <row r="70" spans="1:4" ht="12.75" x14ac:dyDescent="0.2">
      <c r="A70" s="2">
        <v>69</v>
      </c>
      <c r="B70" s="3">
        <v>45130</v>
      </c>
      <c r="C70" s="2">
        <v>25</v>
      </c>
      <c r="D70" s="2">
        <v>75000</v>
      </c>
    </row>
    <row r="71" spans="1:4" ht="12.75" x14ac:dyDescent="0.2">
      <c r="A71" s="2">
        <v>70</v>
      </c>
      <c r="B71" s="3">
        <v>45167</v>
      </c>
      <c r="C71" s="2">
        <v>11</v>
      </c>
      <c r="D71" s="2">
        <v>73000</v>
      </c>
    </row>
    <row r="72" spans="1:4" ht="12.75" x14ac:dyDescent="0.2">
      <c r="A72" s="2">
        <v>71</v>
      </c>
      <c r="B72" s="3">
        <v>45325</v>
      </c>
      <c r="C72" s="2">
        <v>5</v>
      </c>
      <c r="D72" s="2">
        <v>38000</v>
      </c>
    </row>
    <row r="73" spans="1:4" ht="12.75" x14ac:dyDescent="0.2">
      <c r="A73" s="2">
        <v>72</v>
      </c>
      <c r="B73" s="3">
        <v>45330</v>
      </c>
      <c r="C73" s="2">
        <v>47</v>
      </c>
      <c r="D73" s="2">
        <v>33000</v>
      </c>
    </row>
    <row r="74" spans="1:4" ht="12.75" x14ac:dyDescent="0.2">
      <c r="A74" s="2">
        <v>73</v>
      </c>
      <c r="B74" s="3">
        <v>45144</v>
      </c>
      <c r="C74" s="2">
        <v>37</v>
      </c>
      <c r="D74" s="2">
        <v>43000</v>
      </c>
    </row>
    <row r="75" spans="1:4" ht="12.75" x14ac:dyDescent="0.2">
      <c r="A75" s="2">
        <v>74</v>
      </c>
      <c r="B75" s="3">
        <v>45064</v>
      </c>
      <c r="C75" s="2">
        <v>54</v>
      </c>
      <c r="D75" s="2">
        <v>106000</v>
      </c>
    </row>
    <row r="76" spans="1:4" ht="12.75" x14ac:dyDescent="0.2">
      <c r="A76" s="2">
        <v>75</v>
      </c>
      <c r="B76" s="3">
        <v>45126</v>
      </c>
      <c r="C76" s="2">
        <v>14</v>
      </c>
      <c r="D76" s="2">
        <v>74000</v>
      </c>
    </row>
    <row r="77" spans="1:4" ht="12.75" x14ac:dyDescent="0.2">
      <c r="A77" s="2">
        <v>76</v>
      </c>
      <c r="B77" s="3">
        <v>45312</v>
      </c>
      <c r="C77" s="2">
        <v>41</v>
      </c>
      <c r="D77" s="2">
        <v>239000</v>
      </c>
    </row>
    <row r="78" spans="1:4" ht="12.75" x14ac:dyDescent="0.2">
      <c r="A78" s="2">
        <v>77</v>
      </c>
      <c r="B78" s="3">
        <v>45203</v>
      </c>
      <c r="C78" s="2">
        <v>75</v>
      </c>
      <c r="D78" s="2">
        <v>24000</v>
      </c>
    </row>
    <row r="79" spans="1:4" ht="12.75" x14ac:dyDescent="0.2">
      <c r="A79" s="2">
        <v>78</v>
      </c>
      <c r="B79" s="3">
        <v>45105</v>
      </c>
      <c r="C79" s="2">
        <v>63</v>
      </c>
      <c r="D79" s="2">
        <v>141000</v>
      </c>
    </row>
    <row r="80" spans="1:4" ht="12.75" x14ac:dyDescent="0.2">
      <c r="A80" s="2">
        <v>79</v>
      </c>
      <c r="B80" s="3">
        <v>45118</v>
      </c>
      <c r="C80" s="2">
        <v>75</v>
      </c>
      <c r="D80" s="2">
        <v>29000</v>
      </c>
    </row>
    <row r="81" spans="1:4" ht="12.75" x14ac:dyDescent="0.2">
      <c r="A81" s="2">
        <v>80</v>
      </c>
      <c r="B81" s="3">
        <v>45021</v>
      </c>
      <c r="C81" s="2">
        <v>68</v>
      </c>
      <c r="D81" s="2">
        <v>35000</v>
      </c>
    </row>
    <row r="82" spans="1:4" ht="12.75" x14ac:dyDescent="0.2">
      <c r="A82" s="2">
        <v>81</v>
      </c>
      <c r="B82" s="3">
        <v>45153</v>
      </c>
      <c r="C82" s="2">
        <v>39</v>
      </c>
      <c r="D82" s="2">
        <v>76000</v>
      </c>
    </row>
    <row r="83" spans="1:4" ht="12.75" x14ac:dyDescent="0.2">
      <c r="A83" s="2">
        <v>82</v>
      </c>
      <c r="B83" s="3">
        <v>45056</v>
      </c>
      <c r="C83" s="2">
        <v>18</v>
      </c>
      <c r="D83" s="2">
        <v>84000</v>
      </c>
    </row>
    <row r="84" spans="1:4" ht="12.75" x14ac:dyDescent="0.2">
      <c r="A84" s="2">
        <v>83</v>
      </c>
      <c r="B84" s="3">
        <v>45330</v>
      </c>
      <c r="C84" s="2">
        <v>16</v>
      </c>
      <c r="D84" s="2">
        <v>83000</v>
      </c>
    </row>
    <row r="85" spans="1:4" ht="12.75" x14ac:dyDescent="0.2">
      <c r="A85" s="2">
        <v>84</v>
      </c>
      <c r="B85" s="3">
        <v>45282</v>
      </c>
      <c r="C85" s="2">
        <v>58</v>
      </c>
      <c r="D85" s="2">
        <v>83000</v>
      </c>
    </row>
    <row r="86" spans="1:4" ht="12.75" x14ac:dyDescent="0.2">
      <c r="A86" s="2">
        <v>85</v>
      </c>
      <c r="B86" s="3">
        <v>45022</v>
      </c>
      <c r="C86" s="2">
        <v>76</v>
      </c>
      <c r="D86" s="2">
        <v>40000</v>
      </c>
    </row>
    <row r="87" spans="1:4" ht="12.75" x14ac:dyDescent="0.2">
      <c r="A87" s="2">
        <v>86</v>
      </c>
      <c r="B87" s="3">
        <v>45137</v>
      </c>
      <c r="C87" s="2">
        <v>52</v>
      </c>
      <c r="D87" s="2">
        <v>77000</v>
      </c>
    </row>
    <row r="88" spans="1:4" ht="12.75" x14ac:dyDescent="0.2">
      <c r="A88" s="2">
        <v>87</v>
      </c>
      <c r="B88" s="3">
        <v>45196</v>
      </c>
      <c r="C88" s="2">
        <v>91</v>
      </c>
      <c r="D88" s="2">
        <v>44000</v>
      </c>
    </row>
    <row r="89" spans="1:4" ht="12.75" x14ac:dyDescent="0.2">
      <c r="A89" s="2">
        <v>88</v>
      </c>
      <c r="B89" s="3">
        <v>45129</v>
      </c>
      <c r="C89" s="2">
        <v>92</v>
      </c>
      <c r="D89" s="2">
        <v>21000</v>
      </c>
    </row>
    <row r="90" spans="1:4" ht="12.75" x14ac:dyDescent="0.2">
      <c r="A90" s="2">
        <v>89</v>
      </c>
      <c r="B90" s="3">
        <v>45248</v>
      </c>
      <c r="C90" s="2">
        <v>34</v>
      </c>
      <c r="D90" s="2">
        <v>149000</v>
      </c>
    </row>
    <row r="91" spans="1:4" ht="12.75" x14ac:dyDescent="0.2">
      <c r="A91" s="2">
        <v>90</v>
      </c>
      <c r="B91" s="3">
        <v>45046</v>
      </c>
      <c r="C91" s="2">
        <v>12</v>
      </c>
      <c r="D91" s="2">
        <v>185000</v>
      </c>
    </row>
    <row r="92" spans="1:4" ht="12.75" x14ac:dyDescent="0.2">
      <c r="A92" s="2">
        <v>91</v>
      </c>
      <c r="B92" s="3">
        <v>45346</v>
      </c>
      <c r="C92" s="2">
        <v>51</v>
      </c>
      <c r="D92" s="2">
        <v>95000</v>
      </c>
    </row>
    <row r="93" spans="1:4" ht="12.75" x14ac:dyDescent="0.2">
      <c r="A93" s="2">
        <v>92</v>
      </c>
      <c r="B93" s="3">
        <v>45052</v>
      </c>
      <c r="C93" s="2">
        <v>80</v>
      </c>
      <c r="D93" s="2">
        <v>15000</v>
      </c>
    </row>
    <row r="94" spans="1:4" ht="12.75" x14ac:dyDescent="0.2">
      <c r="A94" s="2">
        <v>93</v>
      </c>
      <c r="B94" s="3">
        <v>45002</v>
      </c>
      <c r="C94" s="2">
        <v>72</v>
      </c>
      <c r="D94" s="2">
        <v>80000</v>
      </c>
    </row>
    <row r="95" spans="1:4" ht="12.75" x14ac:dyDescent="0.2">
      <c r="A95" s="2">
        <v>94</v>
      </c>
      <c r="B95" s="3">
        <v>45213</v>
      </c>
      <c r="C95" s="2">
        <v>40</v>
      </c>
      <c r="D95" s="2">
        <v>67000</v>
      </c>
    </row>
    <row r="96" spans="1:4" ht="12.75" x14ac:dyDescent="0.2">
      <c r="A96" s="2">
        <v>95</v>
      </c>
      <c r="B96" s="3">
        <v>45262</v>
      </c>
      <c r="C96" s="2">
        <v>63</v>
      </c>
      <c r="D96" s="2">
        <v>40000</v>
      </c>
    </row>
    <row r="97" spans="1:4" ht="12.75" x14ac:dyDescent="0.2">
      <c r="A97" s="2">
        <v>96</v>
      </c>
      <c r="B97" s="3">
        <v>45234</v>
      </c>
      <c r="C97" s="2">
        <v>76</v>
      </c>
      <c r="D97" s="2">
        <v>180000</v>
      </c>
    </row>
    <row r="98" spans="1:4" ht="12.75" x14ac:dyDescent="0.2">
      <c r="A98" s="2">
        <v>97</v>
      </c>
      <c r="B98" s="3">
        <v>45148</v>
      </c>
      <c r="C98" s="2">
        <v>31</v>
      </c>
      <c r="D98" s="2">
        <v>84000</v>
      </c>
    </row>
    <row r="99" spans="1:4" ht="12.75" x14ac:dyDescent="0.2">
      <c r="A99" s="2">
        <v>98</v>
      </c>
      <c r="B99" s="3">
        <v>45267</v>
      </c>
      <c r="C99" s="2">
        <v>42</v>
      </c>
      <c r="D99" s="2">
        <v>144000</v>
      </c>
    </row>
    <row r="100" spans="1:4" ht="12.75" x14ac:dyDescent="0.2">
      <c r="A100" s="2">
        <v>99</v>
      </c>
      <c r="B100" s="3">
        <v>45014</v>
      </c>
      <c r="C100" s="2">
        <v>57</v>
      </c>
      <c r="D100" s="2">
        <v>192000</v>
      </c>
    </row>
    <row r="101" spans="1:4" ht="12.75" x14ac:dyDescent="0.2">
      <c r="A101" s="2">
        <v>100</v>
      </c>
      <c r="B101" s="3">
        <v>45030</v>
      </c>
      <c r="C101" s="2">
        <v>57</v>
      </c>
      <c r="D101" s="2">
        <v>124000</v>
      </c>
    </row>
    <row r="102" spans="1:4" ht="12.75" x14ac:dyDescent="0.2">
      <c r="A102" s="2">
        <v>101</v>
      </c>
      <c r="B102" s="3">
        <v>45333</v>
      </c>
      <c r="C102" s="2">
        <v>75</v>
      </c>
      <c r="D102" s="2">
        <v>24000</v>
      </c>
    </row>
    <row r="103" spans="1:4" ht="12.75" x14ac:dyDescent="0.2">
      <c r="A103" s="2">
        <v>102</v>
      </c>
      <c r="B103" s="3">
        <v>45027</v>
      </c>
      <c r="C103" s="2">
        <v>66</v>
      </c>
      <c r="D103" s="2">
        <v>21000</v>
      </c>
    </row>
    <row r="104" spans="1:4" ht="12.75" x14ac:dyDescent="0.2">
      <c r="A104" s="2">
        <v>103</v>
      </c>
      <c r="B104" s="3">
        <v>45343</v>
      </c>
      <c r="C104" s="2">
        <v>45</v>
      </c>
      <c r="D104" s="2">
        <v>57000</v>
      </c>
    </row>
    <row r="105" spans="1:4" ht="12.75" x14ac:dyDescent="0.2">
      <c r="A105" s="2">
        <v>104</v>
      </c>
      <c r="B105" s="3">
        <v>45172</v>
      </c>
      <c r="C105" s="2">
        <v>5</v>
      </c>
      <c r="D105" s="2">
        <v>37000</v>
      </c>
    </row>
    <row r="106" spans="1:4" ht="12.75" x14ac:dyDescent="0.2">
      <c r="A106" s="2">
        <v>105</v>
      </c>
      <c r="B106" s="3">
        <v>45110</v>
      </c>
      <c r="C106" s="2">
        <v>32</v>
      </c>
      <c r="D106" s="2">
        <v>46000</v>
      </c>
    </row>
    <row r="107" spans="1:4" ht="12.75" x14ac:dyDescent="0.2">
      <c r="A107" s="2">
        <v>106</v>
      </c>
      <c r="B107" s="3">
        <v>44996</v>
      </c>
      <c r="C107" s="2">
        <v>94</v>
      </c>
      <c r="D107" s="2">
        <v>48000</v>
      </c>
    </row>
    <row r="108" spans="1:4" ht="12.75" x14ac:dyDescent="0.2">
      <c r="A108" s="2">
        <v>107</v>
      </c>
      <c r="B108" s="3">
        <v>45104</v>
      </c>
      <c r="C108" s="2">
        <v>81</v>
      </c>
      <c r="D108" s="2">
        <v>313000</v>
      </c>
    </row>
    <row r="109" spans="1:4" ht="12.75" x14ac:dyDescent="0.2">
      <c r="A109" s="2">
        <v>108</v>
      </c>
      <c r="B109" s="3">
        <v>45057</v>
      </c>
      <c r="C109" s="2">
        <v>35</v>
      </c>
      <c r="D109" s="2">
        <v>240000</v>
      </c>
    </row>
    <row r="110" spans="1:4" ht="12.75" x14ac:dyDescent="0.2">
      <c r="A110" s="2">
        <v>109</v>
      </c>
      <c r="B110" s="3">
        <v>45222</v>
      </c>
      <c r="C110" s="2">
        <v>35</v>
      </c>
      <c r="D110" s="2">
        <v>223000</v>
      </c>
    </row>
    <row r="111" spans="1:4" ht="12.75" x14ac:dyDescent="0.2">
      <c r="A111" s="2">
        <v>110</v>
      </c>
      <c r="B111" s="3">
        <v>45127</v>
      </c>
      <c r="C111" s="2">
        <v>75</v>
      </c>
      <c r="D111" s="2">
        <v>24000</v>
      </c>
    </row>
    <row r="112" spans="1:4" ht="12.75" x14ac:dyDescent="0.2">
      <c r="A112" s="2">
        <v>111</v>
      </c>
      <c r="B112" s="3">
        <v>45244</v>
      </c>
      <c r="C112" s="2">
        <v>32</v>
      </c>
      <c r="D112" s="2">
        <v>44000</v>
      </c>
    </row>
    <row r="113" spans="1:4" ht="12.75" x14ac:dyDescent="0.2">
      <c r="A113" s="2">
        <v>112</v>
      </c>
      <c r="B113" s="3">
        <v>45042</v>
      </c>
      <c r="C113" s="2">
        <v>93</v>
      </c>
      <c r="D113" s="2">
        <v>29000</v>
      </c>
    </row>
    <row r="114" spans="1:4" ht="12.75" x14ac:dyDescent="0.2">
      <c r="A114" s="2">
        <v>113</v>
      </c>
      <c r="B114" s="3">
        <v>45031</v>
      </c>
      <c r="C114" s="2">
        <v>61</v>
      </c>
      <c r="D114" s="2">
        <v>50000</v>
      </c>
    </row>
    <row r="115" spans="1:4" ht="12.75" x14ac:dyDescent="0.2">
      <c r="A115" s="2">
        <v>114</v>
      </c>
      <c r="B115" s="3">
        <v>45272</v>
      </c>
      <c r="C115" s="2">
        <v>57</v>
      </c>
      <c r="D115" s="2">
        <v>17000</v>
      </c>
    </row>
    <row r="116" spans="1:4" ht="12.75" x14ac:dyDescent="0.2">
      <c r="A116" s="2">
        <v>115</v>
      </c>
      <c r="B116" s="3">
        <v>45015</v>
      </c>
      <c r="C116" s="2">
        <v>30</v>
      </c>
      <c r="D116" s="2">
        <v>68000</v>
      </c>
    </row>
    <row r="117" spans="1:4" ht="12.75" x14ac:dyDescent="0.2">
      <c r="A117" s="2">
        <v>116</v>
      </c>
      <c r="B117" s="3">
        <v>45014</v>
      </c>
      <c r="C117" s="2">
        <v>45</v>
      </c>
      <c r="D117" s="2">
        <v>58000</v>
      </c>
    </row>
    <row r="118" spans="1:4" ht="12.75" x14ac:dyDescent="0.2">
      <c r="A118" s="2">
        <v>117</v>
      </c>
      <c r="B118" s="3">
        <v>45124</v>
      </c>
      <c r="C118" s="2">
        <v>19</v>
      </c>
      <c r="D118" s="2">
        <v>321000</v>
      </c>
    </row>
    <row r="119" spans="1:4" ht="12.75" x14ac:dyDescent="0.2">
      <c r="A119" s="2">
        <v>118</v>
      </c>
      <c r="B119" s="3">
        <v>45012</v>
      </c>
      <c r="C119" s="2">
        <v>94</v>
      </c>
      <c r="D119" s="2">
        <v>24000</v>
      </c>
    </row>
    <row r="120" spans="1:4" ht="12.75" x14ac:dyDescent="0.2">
      <c r="A120" s="2">
        <v>119</v>
      </c>
      <c r="B120" s="3">
        <v>45139</v>
      </c>
      <c r="C120" s="2">
        <v>17</v>
      </c>
      <c r="D120" s="2">
        <v>285000</v>
      </c>
    </row>
    <row r="121" spans="1:4" ht="12.75" x14ac:dyDescent="0.2">
      <c r="A121" s="2">
        <v>120</v>
      </c>
      <c r="B121" s="3">
        <v>45310</v>
      </c>
      <c r="C121" s="2">
        <v>51</v>
      </c>
      <c r="D121" s="2">
        <v>29000</v>
      </c>
    </row>
    <row r="122" spans="1:4" ht="12.75" x14ac:dyDescent="0.2">
      <c r="A122" s="2">
        <v>121</v>
      </c>
      <c r="B122" s="3">
        <v>45143</v>
      </c>
      <c r="C122" s="2">
        <v>50</v>
      </c>
      <c r="D122" s="2">
        <v>124000</v>
      </c>
    </row>
    <row r="123" spans="1:4" ht="12.75" x14ac:dyDescent="0.2">
      <c r="A123" s="2">
        <v>122</v>
      </c>
      <c r="B123" s="3">
        <v>45208</v>
      </c>
      <c r="C123" s="2">
        <v>90</v>
      </c>
      <c r="D123" s="2">
        <v>8000</v>
      </c>
    </row>
    <row r="124" spans="1:4" ht="12.75" x14ac:dyDescent="0.2">
      <c r="A124" s="2">
        <v>123</v>
      </c>
      <c r="B124" s="3">
        <v>45254</v>
      </c>
      <c r="C124" s="2">
        <v>32</v>
      </c>
      <c r="D124" s="2">
        <v>345000</v>
      </c>
    </row>
    <row r="125" spans="1:4" ht="12.75" x14ac:dyDescent="0.2">
      <c r="A125" s="2">
        <v>124</v>
      </c>
      <c r="B125" s="3">
        <v>45310</v>
      </c>
      <c r="C125" s="2">
        <v>24</v>
      </c>
      <c r="D125" s="2">
        <v>143000</v>
      </c>
    </row>
    <row r="126" spans="1:4" ht="12.75" x14ac:dyDescent="0.2">
      <c r="A126" s="2">
        <v>125</v>
      </c>
      <c r="B126" s="3">
        <v>45171</v>
      </c>
      <c r="C126" s="2">
        <v>2</v>
      </c>
      <c r="D126" s="2">
        <v>68000</v>
      </c>
    </row>
    <row r="127" spans="1:4" ht="12.75" x14ac:dyDescent="0.2">
      <c r="A127" s="2">
        <v>126</v>
      </c>
      <c r="B127" s="3">
        <v>44991</v>
      </c>
      <c r="C127" s="2">
        <v>72</v>
      </c>
      <c r="D127" s="2">
        <v>54000</v>
      </c>
    </row>
    <row r="128" spans="1:4" ht="12.75" x14ac:dyDescent="0.2">
      <c r="A128" s="2">
        <v>127</v>
      </c>
      <c r="B128" s="3">
        <v>45196</v>
      </c>
      <c r="C128" s="2">
        <v>84</v>
      </c>
      <c r="D128" s="2">
        <v>129000</v>
      </c>
    </row>
    <row r="129" spans="1:4" ht="12.75" x14ac:dyDescent="0.2">
      <c r="A129" s="2">
        <v>128</v>
      </c>
      <c r="B129" s="3">
        <v>45195</v>
      </c>
      <c r="C129" s="2">
        <v>26</v>
      </c>
      <c r="D129" s="2">
        <v>152000</v>
      </c>
    </row>
    <row r="130" spans="1:4" ht="12.75" x14ac:dyDescent="0.2">
      <c r="A130" s="2">
        <v>129</v>
      </c>
      <c r="B130" s="3">
        <v>45198</v>
      </c>
      <c r="C130" s="2">
        <v>33</v>
      </c>
      <c r="D130" s="2">
        <v>93000</v>
      </c>
    </row>
    <row r="131" spans="1:4" ht="12.75" x14ac:dyDescent="0.2">
      <c r="A131" s="2">
        <v>130</v>
      </c>
      <c r="B131" s="3">
        <v>45016</v>
      </c>
      <c r="C131" s="2">
        <v>70</v>
      </c>
      <c r="D131" s="2">
        <v>10000</v>
      </c>
    </row>
    <row r="132" spans="1:4" ht="12.75" x14ac:dyDescent="0.2">
      <c r="A132" s="2">
        <v>131</v>
      </c>
      <c r="B132" s="3">
        <v>45271</v>
      </c>
      <c r="C132" s="2">
        <v>84</v>
      </c>
      <c r="D132" s="2">
        <v>160000</v>
      </c>
    </row>
    <row r="133" spans="1:4" ht="12.75" x14ac:dyDescent="0.2">
      <c r="A133" s="2">
        <v>132</v>
      </c>
      <c r="B133" s="3">
        <v>45191</v>
      </c>
      <c r="C133" s="2">
        <v>72</v>
      </c>
      <c r="D133" s="2">
        <v>91000</v>
      </c>
    </row>
    <row r="134" spans="1:4" ht="12.75" x14ac:dyDescent="0.2">
      <c r="A134" s="2">
        <v>133</v>
      </c>
      <c r="B134" s="3">
        <v>45039</v>
      </c>
      <c r="C134" s="2">
        <v>84</v>
      </c>
      <c r="D134" s="2">
        <v>21000</v>
      </c>
    </row>
    <row r="135" spans="1:4" ht="12.75" x14ac:dyDescent="0.2">
      <c r="A135" s="2">
        <v>134</v>
      </c>
      <c r="B135" s="3">
        <v>45321</v>
      </c>
      <c r="C135" s="2">
        <v>92</v>
      </c>
      <c r="D135" s="2">
        <v>187000</v>
      </c>
    </row>
    <row r="136" spans="1:4" ht="12.75" x14ac:dyDescent="0.2">
      <c r="A136" s="2">
        <v>135</v>
      </c>
      <c r="B136" s="3">
        <v>45052</v>
      </c>
      <c r="C136" s="2">
        <v>33</v>
      </c>
      <c r="D136" s="2">
        <v>143000</v>
      </c>
    </row>
    <row r="137" spans="1:4" ht="12.75" x14ac:dyDescent="0.2">
      <c r="A137" s="2">
        <v>136</v>
      </c>
      <c r="B137" s="3">
        <v>45179</v>
      </c>
      <c r="C137" s="2">
        <v>98</v>
      </c>
      <c r="D137" s="2">
        <v>126000</v>
      </c>
    </row>
    <row r="138" spans="1:4" ht="12.75" x14ac:dyDescent="0.2">
      <c r="A138" s="2">
        <v>137</v>
      </c>
      <c r="B138" s="3">
        <v>45075</v>
      </c>
      <c r="C138" s="2">
        <v>2</v>
      </c>
      <c r="D138" s="2">
        <v>151000</v>
      </c>
    </row>
    <row r="139" spans="1:4" ht="12.75" x14ac:dyDescent="0.2">
      <c r="A139" s="2">
        <v>138</v>
      </c>
      <c r="B139" s="3">
        <v>45235</v>
      </c>
      <c r="C139" s="2">
        <v>57</v>
      </c>
      <c r="D139" s="2">
        <v>83000</v>
      </c>
    </row>
    <row r="140" spans="1:4" ht="12.75" x14ac:dyDescent="0.2">
      <c r="A140" s="2">
        <v>139</v>
      </c>
      <c r="B140" s="3">
        <v>45138</v>
      </c>
      <c r="C140" s="2">
        <v>88</v>
      </c>
      <c r="D140" s="2">
        <v>21000</v>
      </c>
    </row>
    <row r="141" spans="1:4" ht="12.75" x14ac:dyDescent="0.2">
      <c r="A141" s="2">
        <v>140</v>
      </c>
      <c r="B141" s="3">
        <v>45213</v>
      </c>
      <c r="C141" s="2">
        <v>92</v>
      </c>
      <c r="D141" s="2">
        <v>64000</v>
      </c>
    </row>
    <row r="142" spans="1:4" ht="12.75" x14ac:dyDescent="0.2">
      <c r="A142" s="2">
        <v>141</v>
      </c>
      <c r="B142" s="3">
        <v>45131</v>
      </c>
      <c r="C142" s="2">
        <v>61</v>
      </c>
      <c r="D142" s="2">
        <v>51000</v>
      </c>
    </row>
    <row r="143" spans="1:4" ht="12.75" x14ac:dyDescent="0.2">
      <c r="A143" s="2">
        <v>142</v>
      </c>
      <c r="B143" s="3">
        <v>45032</v>
      </c>
      <c r="C143" s="2">
        <v>10</v>
      </c>
      <c r="D143" s="2">
        <v>50000</v>
      </c>
    </row>
    <row r="144" spans="1:4" ht="12.75" x14ac:dyDescent="0.2">
      <c r="A144" s="2">
        <v>143</v>
      </c>
      <c r="B144" s="3">
        <v>45062</v>
      </c>
      <c r="C144" s="2">
        <v>36</v>
      </c>
      <c r="D144" s="2">
        <v>33000</v>
      </c>
    </row>
    <row r="145" spans="1:4" ht="12.75" x14ac:dyDescent="0.2">
      <c r="A145" s="2">
        <v>144</v>
      </c>
      <c r="B145" s="3">
        <v>45092</v>
      </c>
      <c r="C145" s="2">
        <v>73</v>
      </c>
      <c r="D145" s="2">
        <v>30000</v>
      </c>
    </row>
    <row r="146" spans="1:4" ht="12.75" x14ac:dyDescent="0.2">
      <c r="A146" s="2">
        <v>145</v>
      </c>
      <c r="B146" s="3">
        <v>45190</v>
      </c>
      <c r="C146" s="2">
        <v>52</v>
      </c>
      <c r="D146" s="2">
        <v>132000</v>
      </c>
    </row>
    <row r="147" spans="1:4" ht="12.75" x14ac:dyDescent="0.2">
      <c r="A147" s="2">
        <v>146</v>
      </c>
      <c r="B147" s="3">
        <v>45270</v>
      </c>
      <c r="C147" s="2">
        <v>48</v>
      </c>
      <c r="D147" s="2">
        <v>112000</v>
      </c>
    </row>
    <row r="148" spans="1:4" ht="12.75" x14ac:dyDescent="0.2">
      <c r="A148" s="2">
        <v>147</v>
      </c>
      <c r="B148" s="3">
        <v>45199</v>
      </c>
      <c r="C148" s="2">
        <v>10</v>
      </c>
      <c r="D148" s="2">
        <v>48000</v>
      </c>
    </row>
    <row r="149" spans="1:4" ht="12.75" x14ac:dyDescent="0.2">
      <c r="A149" s="2">
        <v>148</v>
      </c>
      <c r="B149" s="3">
        <v>45296</v>
      </c>
      <c r="C149" s="2">
        <v>24</v>
      </c>
      <c r="D149" s="2">
        <v>328000</v>
      </c>
    </row>
    <row r="150" spans="1:4" ht="12.75" x14ac:dyDescent="0.2">
      <c r="A150" s="2">
        <v>149</v>
      </c>
      <c r="B150" s="3">
        <v>45320</v>
      </c>
      <c r="C150" s="2">
        <v>63</v>
      </c>
      <c r="D150" s="2">
        <v>120000</v>
      </c>
    </row>
    <row r="151" spans="1:4" ht="12.75" x14ac:dyDescent="0.2">
      <c r="A151" s="2">
        <v>150</v>
      </c>
      <c r="B151" s="3">
        <v>45207</v>
      </c>
      <c r="C151" s="2">
        <v>49</v>
      </c>
      <c r="D151" s="2">
        <v>121000</v>
      </c>
    </row>
    <row r="152" spans="1:4" ht="12.75" x14ac:dyDescent="0.2">
      <c r="A152" s="2">
        <v>151</v>
      </c>
      <c r="B152" s="3">
        <v>45261</v>
      </c>
      <c r="C152" s="2">
        <v>14</v>
      </c>
      <c r="D152" s="2">
        <v>8000</v>
      </c>
    </row>
    <row r="153" spans="1:4" ht="12.75" x14ac:dyDescent="0.2">
      <c r="A153" s="2">
        <v>152</v>
      </c>
      <c r="B153" s="3">
        <v>45268</v>
      </c>
      <c r="C153" s="2">
        <v>41</v>
      </c>
      <c r="D153" s="2">
        <v>36000</v>
      </c>
    </row>
    <row r="154" spans="1:4" ht="12.75" x14ac:dyDescent="0.2">
      <c r="A154" s="2">
        <v>153</v>
      </c>
      <c r="B154" s="3">
        <v>45200</v>
      </c>
      <c r="C154" s="2">
        <v>4</v>
      </c>
      <c r="D154" s="2">
        <v>33000</v>
      </c>
    </row>
    <row r="155" spans="1:4" ht="12.75" x14ac:dyDescent="0.2">
      <c r="A155" s="2">
        <v>154</v>
      </c>
      <c r="B155" s="3">
        <v>44996</v>
      </c>
      <c r="C155" s="2">
        <v>14</v>
      </c>
      <c r="D155" s="2">
        <v>88000</v>
      </c>
    </row>
    <row r="156" spans="1:4" ht="12.75" x14ac:dyDescent="0.2">
      <c r="A156" s="2">
        <v>155</v>
      </c>
      <c r="B156" s="3">
        <v>45020</v>
      </c>
      <c r="C156" s="2">
        <v>18</v>
      </c>
      <c r="D156" s="2">
        <v>44000</v>
      </c>
    </row>
    <row r="157" spans="1:4" ht="12.75" x14ac:dyDescent="0.2">
      <c r="A157" s="2">
        <v>156</v>
      </c>
      <c r="B157" s="3">
        <v>45117</v>
      </c>
      <c r="C157" s="2">
        <v>41</v>
      </c>
      <c r="D157" s="2">
        <v>201000</v>
      </c>
    </row>
    <row r="158" spans="1:4" ht="12.75" x14ac:dyDescent="0.2">
      <c r="A158" s="2">
        <v>157</v>
      </c>
      <c r="B158" s="3">
        <v>45223</v>
      </c>
      <c r="C158" s="2">
        <v>29</v>
      </c>
      <c r="D158" s="2">
        <v>145000</v>
      </c>
    </row>
    <row r="159" spans="1:4" ht="12.75" x14ac:dyDescent="0.2">
      <c r="A159" s="2">
        <v>158</v>
      </c>
      <c r="B159" s="3">
        <v>45118</v>
      </c>
      <c r="C159" s="2">
        <v>57</v>
      </c>
      <c r="D159" s="2">
        <v>21000</v>
      </c>
    </row>
    <row r="160" spans="1:4" ht="12.75" x14ac:dyDescent="0.2">
      <c r="A160" s="2">
        <v>159</v>
      </c>
      <c r="B160" s="3">
        <v>45041</v>
      </c>
      <c r="C160" s="2">
        <v>54</v>
      </c>
      <c r="D160" s="2">
        <v>5000</v>
      </c>
    </row>
    <row r="161" spans="1:4" ht="12.75" x14ac:dyDescent="0.2">
      <c r="A161" s="2">
        <v>160</v>
      </c>
      <c r="B161" s="3">
        <v>45288</v>
      </c>
      <c r="C161" s="2">
        <v>38</v>
      </c>
      <c r="D161" s="2">
        <v>305000</v>
      </c>
    </row>
    <row r="162" spans="1:4" ht="12.75" x14ac:dyDescent="0.2">
      <c r="A162" s="2">
        <v>161</v>
      </c>
      <c r="B162" s="3">
        <v>45006</v>
      </c>
      <c r="C162" s="2">
        <v>86</v>
      </c>
      <c r="D162" s="2">
        <v>6000</v>
      </c>
    </row>
    <row r="163" spans="1:4" ht="12.75" x14ac:dyDescent="0.2">
      <c r="A163" s="2">
        <v>162</v>
      </c>
      <c r="B163" s="3">
        <v>45071</v>
      </c>
      <c r="C163" s="2">
        <v>66</v>
      </c>
      <c r="D163" s="2">
        <v>62000</v>
      </c>
    </row>
    <row r="164" spans="1:4" ht="12.75" x14ac:dyDescent="0.2">
      <c r="A164" s="2">
        <v>163</v>
      </c>
      <c r="B164" s="3">
        <v>45257</v>
      </c>
      <c r="C164" s="2">
        <v>54</v>
      </c>
      <c r="D164" s="2">
        <v>96000</v>
      </c>
    </row>
    <row r="165" spans="1:4" ht="12.75" x14ac:dyDescent="0.2">
      <c r="A165" s="2">
        <v>164</v>
      </c>
      <c r="B165" s="3">
        <v>45235</v>
      </c>
      <c r="C165" s="2">
        <v>32</v>
      </c>
      <c r="D165" s="2">
        <v>156000</v>
      </c>
    </row>
    <row r="166" spans="1:4" ht="12.75" x14ac:dyDescent="0.2">
      <c r="A166" s="2">
        <v>165</v>
      </c>
      <c r="B166" s="3">
        <v>45194</v>
      </c>
      <c r="C166" s="2">
        <v>22</v>
      </c>
      <c r="D166" s="2">
        <v>62000</v>
      </c>
    </row>
    <row r="167" spans="1:4" ht="12.75" x14ac:dyDescent="0.2">
      <c r="A167" s="2">
        <v>166</v>
      </c>
      <c r="B167" s="3">
        <v>45285</v>
      </c>
      <c r="C167" s="2">
        <v>71</v>
      </c>
      <c r="D167" s="2">
        <v>128000</v>
      </c>
    </row>
    <row r="168" spans="1:4" ht="12.75" x14ac:dyDescent="0.2">
      <c r="A168" s="2">
        <v>167</v>
      </c>
      <c r="B168" s="3">
        <v>45171</v>
      </c>
      <c r="C168" s="2">
        <v>61</v>
      </c>
      <c r="D168" s="2">
        <v>53000</v>
      </c>
    </row>
    <row r="169" spans="1:4" ht="12.75" x14ac:dyDescent="0.2">
      <c r="A169" s="2">
        <v>168</v>
      </c>
      <c r="B169" s="3">
        <v>45194</v>
      </c>
      <c r="C169" s="2">
        <v>100</v>
      </c>
      <c r="D169" s="2">
        <v>330000</v>
      </c>
    </row>
    <row r="170" spans="1:4" ht="12.75" x14ac:dyDescent="0.2">
      <c r="A170" s="2">
        <v>169</v>
      </c>
      <c r="B170" s="3">
        <v>45065</v>
      </c>
      <c r="C170" s="2">
        <v>11</v>
      </c>
      <c r="D170" s="2">
        <v>40000</v>
      </c>
    </row>
    <row r="171" spans="1:4" ht="12.75" x14ac:dyDescent="0.2">
      <c r="A171" s="2">
        <v>170</v>
      </c>
      <c r="B171" s="3">
        <v>45339</v>
      </c>
      <c r="C171" s="2">
        <v>37</v>
      </c>
      <c r="D171" s="2">
        <v>24000</v>
      </c>
    </row>
    <row r="172" spans="1:4" ht="12.75" x14ac:dyDescent="0.2">
      <c r="A172" s="2">
        <v>171</v>
      </c>
      <c r="B172" s="3">
        <v>45309</v>
      </c>
      <c r="C172" s="2">
        <v>68</v>
      </c>
      <c r="D172" s="2">
        <v>3000</v>
      </c>
    </row>
    <row r="173" spans="1:4" ht="12.75" x14ac:dyDescent="0.2">
      <c r="A173" s="2">
        <v>172</v>
      </c>
      <c r="B173" s="3">
        <v>45083</v>
      </c>
      <c r="C173" s="2">
        <v>32</v>
      </c>
      <c r="D173" s="2">
        <v>66000</v>
      </c>
    </row>
    <row r="174" spans="1:4" ht="12.75" x14ac:dyDescent="0.2">
      <c r="A174" s="2">
        <v>173</v>
      </c>
      <c r="B174" s="3">
        <v>45001</v>
      </c>
      <c r="C174" s="2">
        <v>7</v>
      </c>
      <c r="D174" s="2">
        <v>8000</v>
      </c>
    </row>
    <row r="175" spans="1:4" ht="12.75" x14ac:dyDescent="0.2">
      <c r="A175" s="2">
        <v>174</v>
      </c>
      <c r="B175" s="3">
        <v>45274</v>
      </c>
      <c r="C175" s="2">
        <v>84</v>
      </c>
      <c r="D175" s="2">
        <v>216000</v>
      </c>
    </row>
    <row r="176" spans="1:4" ht="12.75" x14ac:dyDescent="0.2">
      <c r="A176" s="2">
        <v>175</v>
      </c>
      <c r="B176" s="3">
        <v>45123</v>
      </c>
      <c r="C176" s="2">
        <v>91</v>
      </c>
      <c r="D176" s="2">
        <v>228000</v>
      </c>
    </row>
    <row r="177" spans="1:4" ht="12.75" x14ac:dyDescent="0.2">
      <c r="A177" s="2">
        <v>176</v>
      </c>
      <c r="B177" s="3">
        <v>45157</v>
      </c>
      <c r="C177" s="2">
        <v>25</v>
      </c>
      <c r="D177" s="2">
        <v>60000</v>
      </c>
    </row>
    <row r="178" spans="1:4" ht="12.75" x14ac:dyDescent="0.2">
      <c r="A178" s="2">
        <v>177</v>
      </c>
      <c r="B178" s="3">
        <v>45127</v>
      </c>
      <c r="C178" s="2">
        <v>51</v>
      </c>
      <c r="D178" s="2">
        <v>145000</v>
      </c>
    </row>
    <row r="179" spans="1:4" ht="12.75" x14ac:dyDescent="0.2">
      <c r="A179" s="2">
        <v>178</v>
      </c>
      <c r="B179" s="3">
        <v>45285</v>
      </c>
      <c r="C179" s="2">
        <v>88</v>
      </c>
      <c r="D179" s="2">
        <v>69000</v>
      </c>
    </row>
    <row r="180" spans="1:4" ht="12.75" x14ac:dyDescent="0.2">
      <c r="A180" s="2">
        <v>179</v>
      </c>
      <c r="B180" s="3">
        <v>45214</v>
      </c>
      <c r="C180" s="2">
        <v>41</v>
      </c>
      <c r="D180" s="2">
        <v>82000</v>
      </c>
    </row>
    <row r="181" spans="1:4" ht="12.75" x14ac:dyDescent="0.2">
      <c r="A181" s="2">
        <v>180</v>
      </c>
      <c r="B181" s="3">
        <v>45211</v>
      </c>
      <c r="C181" s="2">
        <v>51</v>
      </c>
      <c r="D181" s="2">
        <v>60000</v>
      </c>
    </row>
    <row r="182" spans="1:4" ht="12.75" x14ac:dyDescent="0.2">
      <c r="A182" s="2">
        <v>181</v>
      </c>
      <c r="B182" s="3">
        <v>45145</v>
      </c>
      <c r="C182" s="2">
        <v>100</v>
      </c>
      <c r="D182" s="2">
        <v>276000</v>
      </c>
    </row>
    <row r="183" spans="1:4" ht="12.75" x14ac:dyDescent="0.2">
      <c r="A183" s="2">
        <v>182</v>
      </c>
      <c r="B183" s="3">
        <v>45083</v>
      </c>
      <c r="C183" s="2">
        <v>90</v>
      </c>
      <c r="D183" s="2">
        <v>172000</v>
      </c>
    </row>
    <row r="184" spans="1:4" ht="12.75" x14ac:dyDescent="0.2">
      <c r="A184" s="2">
        <v>183</v>
      </c>
      <c r="B184" s="3">
        <v>45146</v>
      </c>
      <c r="C184" s="2">
        <v>13</v>
      </c>
      <c r="D184" s="2">
        <v>46000</v>
      </c>
    </row>
    <row r="185" spans="1:4" ht="12.75" x14ac:dyDescent="0.2">
      <c r="A185" s="2">
        <v>184</v>
      </c>
      <c r="B185" s="3">
        <v>45115</v>
      </c>
      <c r="C185" s="2">
        <v>44</v>
      </c>
      <c r="D185" s="2">
        <v>35000</v>
      </c>
    </row>
    <row r="186" spans="1:4" ht="12.75" x14ac:dyDescent="0.2">
      <c r="A186" s="2">
        <v>185</v>
      </c>
      <c r="B186" s="3">
        <v>45212</v>
      </c>
      <c r="C186" s="2">
        <v>38</v>
      </c>
      <c r="D186" s="2">
        <v>69000</v>
      </c>
    </row>
    <row r="187" spans="1:4" ht="12.75" x14ac:dyDescent="0.2">
      <c r="A187" s="2">
        <v>186</v>
      </c>
      <c r="B187" s="3">
        <v>45185</v>
      </c>
      <c r="C187" s="2">
        <v>98</v>
      </c>
      <c r="D187" s="2">
        <v>104000</v>
      </c>
    </row>
    <row r="188" spans="1:4" ht="12.75" x14ac:dyDescent="0.2">
      <c r="A188" s="2">
        <v>187</v>
      </c>
      <c r="B188" s="3">
        <v>45093</v>
      </c>
      <c r="C188" s="2">
        <v>60</v>
      </c>
      <c r="D188" s="2">
        <v>21000</v>
      </c>
    </row>
    <row r="189" spans="1:4" ht="12.75" x14ac:dyDescent="0.2">
      <c r="A189" s="2">
        <v>188</v>
      </c>
      <c r="B189" s="3">
        <v>45108</v>
      </c>
      <c r="C189" s="2">
        <v>51</v>
      </c>
      <c r="D189" s="2">
        <v>384000</v>
      </c>
    </row>
    <row r="190" spans="1:4" ht="12.75" x14ac:dyDescent="0.2">
      <c r="A190" s="2">
        <v>189</v>
      </c>
      <c r="B190" s="3">
        <v>45285</v>
      </c>
      <c r="C190" s="2">
        <v>86</v>
      </c>
      <c r="D190" s="2">
        <v>12000</v>
      </c>
    </row>
    <row r="191" spans="1:4" ht="12.75" x14ac:dyDescent="0.2">
      <c r="A191" s="2">
        <v>190</v>
      </c>
      <c r="B191" s="3">
        <v>45135</v>
      </c>
      <c r="C191" s="2">
        <v>37</v>
      </c>
      <c r="D191" s="2">
        <v>125000</v>
      </c>
    </row>
    <row r="192" spans="1:4" ht="12.75" x14ac:dyDescent="0.2">
      <c r="A192" s="2">
        <v>191</v>
      </c>
      <c r="B192" s="3">
        <v>45301</v>
      </c>
      <c r="C192" s="2">
        <v>53</v>
      </c>
      <c r="D192" s="2">
        <v>14000</v>
      </c>
    </row>
    <row r="193" spans="1:4" ht="12.75" x14ac:dyDescent="0.2">
      <c r="A193" s="2">
        <v>192</v>
      </c>
      <c r="B193" s="3">
        <v>45161</v>
      </c>
      <c r="C193" s="2">
        <v>43</v>
      </c>
      <c r="D193" s="2">
        <v>40000</v>
      </c>
    </row>
    <row r="194" spans="1:4" ht="12.75" x14ac:dyDescent="0.2">
      <c r="A194" s="2">
        <v>193</v>
      </c>
      <c r="B194" s="3">
        <v>45216</v>
      </c>
      <c r="C194" s="2">
        <v>1</v>
      </c>
      <c r="D194" s="2">
        <v>61000</v>
      </c>
    </row>
    <row r="195" spans="1:4" ht="12.75" x14ac:dyDescent="0.2">
      <c r="A195" s="2">
        <v>194</v>
      </c>
      <c r="B195" s="3">
        <v>45291</v>
      </c>
      <c r="C195" s="2">
        <v>75</v>
      </c>
      <c r="D195" s="2">
        <v>78000</v>
      </c>
    </row>
    <row r="196" spans="1:4" ht="12.75" x14ac:dyDescent="0.2">
      <c r="A196" s="2">
        <v>195</v>
      </c>
      <c r="B196" s="3">
        <v>45120</v>
      </c>
      <c r="C196" s="2">
        <v>32</v>
      </c>
      <c r="D196" s="2">
        <v>232000</v>
      </c>
    </row>
    <row r="197" spans="1:4" ht="12.75" x14ac:dyDescent="0.2">
      <c r="A197" s="2">
        <v>196</v>
      </c>
      <c r="B197" s="3">
        <v>45032</v>
      </c>
      <c r="C197" s="2">
        <v>87</v>
      </c>
      <c r="D197" s="2">
        <v>126000</v>
      </c>
    </row>
    <row r="198" spans="1:4" ht="12.75" x14ac:dyDescent="0.2">
      <c r="A198" s="2">
        <v>197</v>
      </c>
      <c r="B198" s="3">
        <v>45079</v>
      </c>
      <c r="C198" s="2">
        <v>78</v>
      </c>
      <c r="D198" s="2">
        <v>120000</v>
      </c>
    </row>
    <row r="199" spans="1:4" ht="12.75" x14ac:dyDescent="0.2">
      <c r="A199" s="2">
        <v>198</v>
      </c>
      <c r="B199" s="3">
        <v>45186</v>
      </c>
      <c r="C199" s="2">
        <v>60</v>
      </c>
      <c r="D199" s="2">
        <v>151000</v>
      </c>
    </row>
    <row r="200" spans="1:4" ht="12.75" x14ac:dyDescent="0.2">
      <c r="A200" s="2">
        <v>199</v>
      </c>
      <c r="B200" s="3">
        <v>45191</v>
      </c>
      <c r="C200" s="2">
        <v>69</v>
      </c>
      <c r="D200" s="2">
        <v>23000</v>
      </c>
    </row>
    <row r="201" spans="1:4" ht="12.75" x14ac:dyDescent="0.2">
      <c r="A201" s="2">
        <v>200</v>
      </c>
      <c r="B201" s="3">
        <v>45092</v>
      </c>
      <c r="C201" s="2">
        <v>4</v>
      </c>
      <c r="D201" s="2">
        <v>151000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401C-9A5A-4019-9731-3106DF89F4A7}">
  <sheetPr>
    <tabColor rgb="FF1D2330"/>
  </sheetPr>
  <dimension ref="A1:O31"/>
  <sheetViews>
    <sheetView showGridLines="0" workbookViewId="0">
      <selection activeCell="N53" sqref="N53"/>
    </sheetView>
  </sheetViews>
  <sheetFormatPr defaultRowHeight="12.75" x14ac:dyDescent="0.2"/>
  <cols>
    <col min="1" max="1" width="73.140625" bestFit="1" customWidth="1"/>
    <col min="2" max="2" width="19" bestFit="1" customWidth="1"/>
    <col min="3" max="3" width="47.7109375" bestFit="1" customWidth="1"/>
    <col min="4" max="4" width="21.5703125" bestFit="1" customWidth="1"/>
    <col min="5" max="5" width="11.42578125" bestFit="1" customWidth="1"/>
    <col min="7" max="7" width="15.7109375" bestFit="1" customWidth="1"/>
    <col min="8" max="8" width="8.42578125" bestFit="1" customWidth="1"/>
    <col min="10" max="10" width="20.5703125" bestFit="1" customWidth="1"/>
    <col min="11" max="11" width="14.5703125" bestFit="1" customWidth="1"/>
  </cols>
  <sheetData>
    <row r="1" spans="1:15" ht="18.75" x14ac:dyDescent="0.3">
      <c r="A1" s="6" t="s">
        <v>132</v>
      </c>
      <c r="B1" s="6"/>
      <c r="C1" s="6"/>
      <c r="D1" s="6"/>
      <c r="E1" s="6"/>
      <c r="F1" s="6"/>
      <c r="G1" s="6"/>
      <c r="H1" s="6"/>
      <c r="I1" s="6"/>
      <c r="J1" s="6"/>
      <c r="K1" s="6"/>
      <c r="L1" s="6"/>
      <c r="M1" s="6"/>
      <c r="N1" s="6"/>
      <c r="O1" s="6"/>
    </row>
    <row r="2" spans="1:15" x14ac:dyDescent="0.2">
      <c r="A2" s="5" t="s">
        <v>133</v>
      </c>
      <c r="B2" s="5"/>
      <c r="C2" s="5"/>
      <c r="D2" s="5"/>
      <c r="E2" s="5"/>
      <c r="F2" s="5"/>
      <c r="G2" s="5"/>
      <c r="H2" s="5"/>
      <c r="I2" s="5"/>
      <c r="J2" s="5"/>
      <c r="K2" s="5"/>
      <c r="L2" s="5"/>
      <c r="M2" s="5"/>
      <c r="N2" s="5"/>
      <c r="O2" s="5"/>
    </row>
    <row r="4" spans="1:15" ht="15" x14ac:dyDescent="0.25">
      <c r="A4" s="8" t="s">
        <v>134</v>
      </c>
      <c r="B4" s="12">
        <f>SUM(orders!D2:D201)</f>
        <v>19783000</v>
      </c>
      <c r="D4" s="8" t="s">
        <v>135</v>
      </c>
      <c r="E4" s="9">
        <f>COUNTA(orders!A2:A201)</f>
        <v>200</v>
      </c>
      <c r="G4" s="8" t="s">
        <v>136</v>
      </c>
      <c r="H4" s="9">
        <f>COUNTA(customers!A2:A101)</f>
        <v>100</v>
      </c>
      <c r="J4" s="8" t="s">
        <v>137</v>
      </c>
      <c r="K4" s="9">
        <f>SUM(orderdetails!C2:C520)</f>
        <v>1033</v>
      </c>
    </row>
    <row r="7" spans="1:15" ht="15" x14ac:dyDescent="0.25">
      <c r="A7" s="8" t="s">
        <v>138</v>
      </c>
      <c r="B7" s="12">
        <f>B4/E4</f>
        <v>98915</v>
      </c>
      <c r="D7" s="8" t="s">
        <v>139</v>
      </c>
      <c r="E7" s="13">
        <f>0.58</f>
        <v>0.57999999999999996</v>
      </c>
      <c r="G7" s="8" t="s">
        <v>140</v>
      </c>
      <c r="H7" s="9" t="s">
        <v>23</v>
      </c>
      <c r="J7" s="8" t="s">
        <v>141</v>
      </c>
      <c r="K7" s="9" t="s">
        <v>142</v>
      </c>
    </row>
    <row r="10" spans="1:15" ht="15" x14ac:dyDescent="0.25">
      <c r="A10" s="10" t="s">
        <v>143</v>
      </c>
      <c r="B10" s="10" t="s">
        <v>144</v>
      </c>
      <c r="C10" s="10" t="s">
        <v>145</v>
      </c>
    </row>
    <row r="11" spans="1:15" x14ac:dyDescent="0.2">
      <c r="A11" t="s">
        <v>146</v>
      </c>
      <c r="B11" t="s">
        <v>23</v>
      </c>
      <c r="C11" t="s">
        <v>147</v>
      </c>
    </row>
    <row r="12" spans="1:15" x14ac:dyDescent="0.2">
      <c r="A12" t="s">
        <v>148</v>
      </c>
      <c r="B12" t="s">
        <v>142</v>
      </c>
      <c r="C12" t="s">
        <v>149</v>
      </c>
    </row>
    <row r="13" spans="1:15" x14ac:dyDescent="0.2">
      <c r="A13" t="s">
        <v>150</v>
      </c>
      <c r="B13" s="4">
        <v>45170</v>
      </c>
      <c r="C13" t="s">
        <v>151</v>
      </c>
    </row>
    <row r="14" spans="1:15" x14ac:dyDescent="0.2">
      <c r="A14" t="s">
        <v>152</v>
      </c>
      <c r="B14" s="4">
        <v>45108</v>
      </c>
      <c r="C14" t="s">
        <v>153</v>
      </c>
    </row>
    <row r="15" spans="1:15" x14ac:dyDescent="0.2">
      <c r="A15" t="s">
        <v>154</v>
      </c>
      <c r="B15" t="s">
        <v>155</v>
      </c>
      <c r="C15" t="s">
        <v>156</v>
      </c>
    </row>
    <row r="16" spans="1:15" x14ac:dyDescent="0.2">
      <c r="A16" t="s">
        <v>157</v>
      </c>
      <c r="B16" t="s">
        <v>158</v>
      </c>
      <c r="C16" t="s">
        <v>159</v>
      </c>
    </row>
    <row r="19" spans="1:5" ht="15" x14ac:dyDescent="0.25">
      <c r="A19" s="10" t="s">
        <v>160</v>
      </c>
      <c r="B19" s="10" t="s">
        <v>161</v>
      </c>
      <c r="D19" s="10" t="s">
        <v>162</v>
      </c>
      <c r="E19" s="10" t="s">
        <v>161</v>
      </c>
    </row>
    <row r="20" spans="1:5" x14ac:dyDescent="0.2">
      <c r="A20" s="4">
        <v>44986</v>
      </c>
      <c r="B20" s="14">
        <v>789000</v>
      </c>
      <c r="D20" t="s">
        <v>5</v>
      </c>
      <c r="E20" s="14">
        <v>12758000</v>
      </c>
    </row>
    <row r="21" spans="1:5" x14ac:dyDescent="0.2">
      <c r="A21" s="4">
        <v>45017</v>
      </c>
      <c r="B21" s="14">
        <v>1704000</v>
      </c>
      <c r="D21" t="s">
        <v>13</v>
      </c>
      <c r="E21" s="14">
        <v>6040000</v>
      </c>
    </row>
    <row r="22" spans="1:5" x14ac:dyDescent="0.2">
      <c r="A22" s="4">
        <v>45047</v>
      </c>
      <c r="B22" s="14">
        <v>1582000</v>
      </c>
      <c r="D22" t="s">
        <v>10</v>
      </c>
      <c r="E22" s="14">
        <v>985000</v>
      </c>
    </row>
    <row r="23" spans="1:5" x14ac:dyDescent="0.2">
      <c r="A23" s="4">
        <v>45078</v>
      </c>
      <c r="B23" s="14">
        <v>1040000</v>
      </c>
    </row>
    <row r="24" spans="1:5" x14ac:dyDescent="0.2">
      <c r="A24" s="4">
        <v>45108</v>
      </c>
      <c r="B24" s="14">
        <v>2568000</v>
      </c>
    </row>
    <row r="25" spans="1:5" x14ac:dyDescent="0.2">
      <c r="A25" s="4">
        <v>45139</v>
      </c>
      <c r="B25" s="14">
        <v>1800000</v>
      </c>
    </row>
    <row r="26" spans="1:5" x14ac:dyDescent="0.2">
      <c r="A26" s="4">
        <v>45170</v>
      </c>
      <c r="B26" s="14">
        <v>2927000</v>
      </c>
    </row>
    <row r="27" spans="1:5" x14ac:dyDescent="0.2">
      <c r="A27" s="4">
        <v>45200</v>
      </c>
      <c r="B27" s="14">
        <v>1497000</v>
      </c>
    </row>
    <row r="28" spans="1:5" x14ac:dyDescent="0.2">
      <c r="A28" s="4">
        <v>45231</v>
      </c>
      <c r="B28" s="14">
        <v>1151000</v>
      </c>
    </row>
    <row r="29" spans="1:5" x14ac:dyDescent="0.2">
      <c r="A29" s="4">
        <v>45261</v>
      </c>
      <c r="B29" s="14">
        <v>2774000</v>
      </c>
    </row>
    <row r="30" spans="1:5" x14ac:dyDescent="0.2">
      <c r="A30" s="4">
        <v>45292</v>
      </c>
      <c r="B30" s="14">
        <v>1555000</v>
      </c>
    </row>
    <row r="31" spans="1:5" x14ac:dyDescent="0.2">
      <c r="A31" s="4">
        <v>45323</v>
      </c>
      <c r="B31" s="14">
        <v>396000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FF99-968F-41B4-B506-A57AC2B54C73}">
  <sheetPr>
    <tabColor rgb="FF5B9BD5"/>
  </sheetPr>
  <dimension ref="A1:O26"/>
  <sheetViews>
    <sheetView showGridLines="0" workbookViewId="0"/>
  </sheetViews>
  <sheetFormatPr defaultRowHeight="12.75" x14ac:dyDescent="0.2"/>
  <cols>
    <col min="1" max="1" width="71.85546875" bestFit="1" customWidth="1"/>
    <col min="2" max="2" width="20.85546875" bestFit="1" customWidth="1"/>
    <col min="3" max="3" width="43.42578125" bestFit="1" customWidth="1"/>
    <col min="4" max="4" width="17.7109375" bestFit="1" customWidth="1"/>
    <col min="5" max="5" width="15.85546875" bestFit="1" customWidth="1"/>
    <col min="7" max="7" width="12" bestFit="1" customWidth="1"/>
    <col min="8" max="8" width="13.85546875" bestFit="1" customWidth="1"/>
    <col min="9" max="9" width="10.28515625" bestFit="1" customWidth="1"/>
    <col min="10" max="10" width="13.5703125" bestFit="1" customWidth="1"/>
    <col min="11" max="11" width="8.85546875" bestFit="1" customWidth="1"/>
  </cols>
  <sheetData>
    <row r="1" spans="1:15" ht="18.75" x14ac:dyDescent="0.3">
      <c r="A1" s="6" t="s">
        <v>163</v>
      </c>
      <c r="B1" s="6"/>
      <c r="C1" s="6"/>
      <c r="D1" s="6"/>
      <c r="E1" s="6"/>
      <c r="F1" s="6"/>
      <c r="G1" s="6"/>
      <c r="H1" s="6"/>
      <c r="I1" s="6"/>
      <c r="J1" s="6"/>
      <c r="K1" s="6"/>
      <c r="L1" s="6"/>
      <c r="M1" s="6"/>
      <c r="N1" s="6"/>
      <c r="O1" s="6"/>
    </row>
    <row r="2" spans="1:15" x14ac:dyDescent="0.2">
      <c r="A2" s="5" t="s">
        <v>164</v>
      </c>
      <c r="B2" s="5"/>
      <c r="C2" s="5"/>
      <c r="D2" s="5"/>
      <c r="E2" s="5"/>
      <c r="F2" s="5"/>
      <c r="G2" s="5"/>
      <c r="H2" s="5"/>
      <c r="I2" s="5"/>
      <c r="J2" s="5"/>
      <c r="K2" s="5"/>
      <c r="L2" s="5"/>
      <c r="M2" s="5"/>
      <c r="N2" s="5"/>
      <c r="O2" s="5"/>
    </row>
    <row r="4" spans="1:15" ht="15" x14ac:dyDescent="0.25">
      <c r="A4" s="8" t="s">
        <v>136</v>
      </c>
      <c r="B4" s="7">
        <v>100</v>
      </c>
      <c r="C4" s="7"/>
      <c r="D4" s="7" t="s">
        <v>165</v>
      </c>
      <c r="E4" s="7">
        <v>58</v>
      </c>
      <c r="F4" s="7"/>
      <c r="G4" s="7" t="s">
        <v>166</v>
      </c>
      <c r="H4" s="15">
        <v>0.57999999999999996</v>
      </c>
      <c r="I4" s="7"/>
      <c r="J4" s="7" t="s">
        <v>140</v>
      </c>
      <c r="K4" s="9" t="s">
        <v>23</v>
      </c>
    </row>
    <row r="7" spans="1:15" ht="15" x14ac:dyDescent="0.25">
      <c r="A7" s="10" t="s">
        <v>167</v>
      </c>
      <c r="B7" s="10" t="s">
        <v>168</v>
      </c>
      <c r="C7" s="10" t="s">
        <v>169</v>
      </c>
      <c r="D7" s="10" t="s">
        <v>161</v>
      </c>
      <c r="E7" s="10" t="s">
        <v>138</v>
      </c>
      <c r="G7" s="10" t="s">
        <v>170</v>
      </c>
      <c r="H7" s="10" t="s">
        <v>171</v>
      </c>
      <c r="I7" s="10" t="s">
        <v>167</v>
      </c>
      <c r="J7" s="10" t="s">
        <v>169</v>
      </c>
      <c r="K7" s="10" t="s">
        <v>172</v>
      </c>
      <c r="M7" t="s">
        <v>167</v>
      </c>
      <c r="N7" t="s">
        <v>161</v>
      </c>
    </row>
    <row r="8" spans="1:15" x14ac:dyDescent="0.2">
      <c r="A8" t="s">
        <v>23</v>
      </c>
      <c r="B8">
        <v>15</v>
      </c>
      <c r="C8">
        <v>34</v>
      </c>
      <c r="D8" s="14">
        <v>3890000</v>
      </c>
      <c r="E8" s="14">
        <v>114412</v>
      </c>
      <c r="G8">
        <v>1</v>
      </c>
      <c r="H8" t="s">
        <v>60</v>
      </c>
      <c r="I8" t="s">
        <v>23</v>
      </c>
      <c r="J8">
        <v>6</v>
      </c>
      <c r="K8" s="14">
        <v>889000</v>
      </c>
      <c r="M8" t="s">
        <v>23</v>
      </c>
      <c r="N8">
        <v>3890000</v>
      </c>
    </row>
    <row r="9" spans="1:15" x14ac:dyDescent="0.2">
      <c r="A9" t="s">
        <v>36</v>
      </c>
      <c r="B9">
        <v>9</v>
      </c>
      <c r="C9">
        <v>24</v>
      </c>
      <c r="D9" s="14">
        <v>2206000</v>
      </c>
      <c r="E9" s="14">
        <v>91917</v>
      </c>
      <c r="G9">
        <v>2</v>
      </c>
      <c r="H9" t="s">
        <v>44</v>
      </c>
      <c r="I9" t="s">
        <v>43</v>
      </c>
      <c r="J9">
        <v>4</v>
      </c>
      <c r="K9" s="14">
        <v>864000</v>
      </c>
      <c r="M9" t="s">
        <v>36</v>
      </c>
      <c r="N9">
        <v>2206000</v>
      </c>
    </row>
    <row r="10" spans="1:15" x14ac:dyDescent="0.2">
      <c r="A10" t="s">
        <v>43</v>
      </c>
      <c r="B10">
        <v>11</v>
      </c>
      <c r="C10">
        <v>22</v>
      </c>
      <c r="D10" s="14">
        <v>2102000</v>
      </c>
      <c r="E10" s="14">
        <v>95545</v>
      </c>
      <c r="G10">
        <v>3</v>
      </c>
      <c r="H10" t="s">
        <v>80</v>
      </c>
      <c r="I10" t="s">
        <v>36</v>
      </c>
      <c r="J10">
        <v>5</v>
      </c>
      <c r="K10" s="14">
        <v>713000</v>
      </c>
      <c r="M10" t="s">
        <v>43</v>
      </c>
      <c r="N10">
        <v>2102000</v>
      </c>
    </row>
    <row r="11" spans="1:15" x14ac:dyDescent="0.2">
      <c r="A11" t="s">
        <v>21</v>
      </c>
      <c r="B11">
        <v>16</v>
      </c>
      <c r="C11">
        <v>28</v>
      </c>
      <c r="D11" s="14">
        <v>2066000</v>
      </c>
      <c r="E11" s="14">
        <v>73786</v>
      </c>
      <c r="G11">
        <v>4</v>
      </c>
      <c r="H11" t="s">
        <v>51</v>
      </c>
      <c r="I11" t="s">
        <v>52</v>
      </c>
      <c r="J11">
        <v>4</v>
      </c>
      <c r="K11" s="14">
        <v>693000</v>
      </c>
      <c r="M11" t="s">
        <v>21</v>
      </c>
      <c r="N11">
        <v>2066000</v>
      </c>
    </row>
    <row r="12" spans="1:15" x14ac:dyDescent="0.2">
      <c r="A12" t="s">
        <v>38</v>
      </c>
      <c r="B12">
        <v>8</v>
      </c>
      <c r="C12">
        <v>22</v>
      </c>
      <c r="D12" s="14">
        <v>1928000</v>
      </c>
      <c r="E12" s="14">
        <v>87636</v>
      </c>
      <c r="G12">
        <v>5</v>
      </c>
      <c r="H12" t="s">
        <v>129</v>
      </c>
      <c r="I12" t="s">
        <v>62</v>
      </c>
      <c r="J12">
        <v>3</v>
      </c>
      <c r="K12" s="14">
        <v>613000</v>
      </c>
      <c r="M12" t="s">
        <v>38</v>
      </c>
      <c r="N12">
        <v>1928000</v>
      </c>
    </row>
    <row r="13" spans="1:15" x14ac:dyDescent="0.2">
      <c r="A13" t="s">
        <v>62</v>
      </c>
      <c r="B13">
        <v>8</v>
      </c>
      <c r="C13">
        <v>15</v>
      </c>
      <c r="D13" s="14">
        <v>1899000</v>
      </c>
      <c r="E13" s="14">
        <v>126600</v>
      </c>
      <c r="G13">
        <v>6</v>
      </c>
      <c r="H13" t="s">
        <v>86</v>
      </c>
      <c r="I13" t="s">
        <v>38</v>
      </c>
      <c r="J13">
        <v>8</v>
      </c>
      <c r="K13" s="14">
        <v>594000</v>
      </c>
      <c r="M13" t="s">
        <v>62</v>
      </c>
      <c r="N13">
        <v>1899000</v>
      </c>
    </row>
    <row r="14" spans="1:15" x14ac:dyDescent="0.2">
      <c r="A14" t="s">
        <v>34</v>
      </c>
      <c r="B14">
        <v>10</v>
      </c>
      <c r="C14">
        <v>17</v>
      </c>
      <c r="D14" s="14">
        <v>1616000</v>
      </c>
      <c r="E14" s="14">
        <v>95059</v>
      </c>
      <c r="G14">
        <v>7</v>
      </c>
      <c r="H14" t="s">
        <v>113</v>
      </c>
      <c r="I14" t="s">
        <v>21</v>
      </c>
      <c r="J14">
        <v>5</v>
      </c>
      <c r="K14" s="14">
        <v>592000</v>
      </c>
      <c r="M14" t="s">
        <v>34</v>
      </c>
      <c r="N14">
        <v>1616000</v>
      </c>
    </row>
    <row r="15" spans="1:15" x14ac:dyDescent="0.2">
      <c r="A15" t="s">
        <v>32</v>
      </c>
      <c r="B15">
        <v>8</v>
      </c>
      <c r="C15">
        <v>17</v>
      </c>
      <c r="D15" s="14">
        <v>1589000</v>
      </c>
      <c r="E15" s="14">
        <v>93471</v>
      </c>
      <c r="G15">
        <v>8</v>
      </c>
      <c r="H15" t="s">
        <v>107</v>
      </c>
      <c r="I15" t="s">
        <v>23</v>
      </c>
      <c r="J15">
        <v>4</v>
      </c>
      <c r="K15" s="14">
        <v>562000</v>
      </c>
      <c r="M15" t="s">
        <v>32</v>
      </c>
      <c r="N15">
        <v>1589000</v>
      </c>
    </row>
    <row r="16" spans="1:15" x14ac:dyDescent="0.2">
      <c r="A16" t="s">
        <v>26</v>
      </c>
      <c r="B16">
        <v>10</v>
      </c>
      <c r="C16">
        <v>12</v>
      </c>
      <c r="D16" s="14">
        <v>1323000</v>
      </c>
      <c r="E16" s="14">
        <v>110250</v>
      </c>
      <c r="G16">
        <v>9</v>
      </c>
      <c r="H16" t="s">
        <v>70</v>
      </c>
      <c r="I16" t="s">
        <v>32</v>
      </c>
      <c r="J16">
        <v>4</v>
      </c>
      <c r="K16" s="14">
        <v>558000</v>
      </c>
      <c r="M16" t="s">
        <v>26</v>
      </c>
      <c r="N16">
        <v>1323000</v>
      </c>
    </row>
    <row r="17" spans="1:14" x14ac:dyDescent="0.2">
      <c r="A17" t="s">
        <v>52</v>
      </c>
      <c r="B17">
        <v>5</v>
      </c>
      <c r="C17">
        <v>9</v>
      </c>
      <c r="D17" s="14">
        <v>1164000</v>
      </c>
      <c r="E17" s="14">
        <v>129333</v>
      </c>
      <c r="G17">
        <v>10</v>
      </c>
      <c r="H17" t="s">
        <v>64</v>
      </c>
      <c r="I17" t="s">
        <v>23</v>
      </c>
      <c r="J17">
        <v>2</v>
      </c>
      <c r="K17" s="14">
        <v>463000</v>
      </c>
      <c r="M17" t="s">
        <v>52</v>
      </c>
      <c r="N17">
        <v>1164000</v>
      </c>
    </row>
    <row r="20" spans="1:14" ht="15" x14ac:dyDescent="0.25">
      <c r="A20" s="10" t="s">
        <v>143</v>
      </c>
      <c r="B20" s="10" t="s">
        <v>144</v>
      </c>
      <c r="C20" s="10" t="s">
        <v>173</v>
      </c>
    </row>
    <row r="21" spans="1:14" x14ac:dyDescent="0.2">
      <c r="A21" t="s">
        <v>174</v>
      </c>
      <c r="B21" t="s">
        <v>23</v>
      </c>
      <c r="C21" t="s">
        <v>175</v>
      </c>
    </row>
    <row r="22" spans="1:14" x14ac:dyDescent="0.2">
      <c r="A22" t="s">
        <v>176</v>
      </c>
      <c r="B22" t="s">
        <v>177</v>
      </c>
      <c r="C22" t="s">
        <v>178</v>
      </c>
    </row>
    <row r="23" spans="1:14" x14ac:dyDescent="0.2">
      <c r="A23" t="s">
        <v>179</v>
      </c>
      <c r="B23" t="s">
        <v>60</v>
      </c>
      <c r="C23" t="s">
        <v>180</v>
      </c>
    </row>
    <row r="24" spans="1:14" x14ac:dyDescent="0.2">
      <c r="A24" t="s">
        <v>181</v>
      </c>
      <c r="B24" t="s">
        <v>182</v>
      </c>
      <c r="C24" t="s">
        <v>183</v>
      </c>
    </row>
    <row r="25" spans="1:14" x14ac:dyDescent="0.2">
      <c r="A25" t="s">
        <v>184</v>
      </c>
      <c r="B25" t="s">
        <v>36</v>
      </c>
      <c r="C25" t="s">
        <v>185</v>
      </c>
    </row>
    <row r="26" spans="1:14" x14ac:dyDescent="0.2">
      <c r="A26" t="s">
        <v>186</v>
      </c>
      <c r="B26" t="s">
        <v>187</v>
      </c>
      <c r="C26" t="s">
        <v>188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857E-AD50-4B90-8A05-BAC8E274E5D1}">
  <sheetPr>
    <tabColor rgb="FF70AD47"/>
  </sheetPr>
  <dimension ref="A1:O24"/>
  <sheetViews>
    <sheetView showGridLines="0" workbookViewId="0">
      <selection activeCell="J38" sqref="J38"/>
    </sheetView>
  </sheetViews>
  <sheetFormatPr defaultRowHeight="12.75" x14ac:dyDescent="0.2"/>
  <cols>
    <col min="1" max="1" width="57.7109375" bestFit="1" customWidth="1"/>
    <col min="2" max="2" width="24.7109375" bestFit="1" customWidth="1"/>
    <col min="3" max="3" width="44.42578125" bestFit="1" customWidth="1"/>
    <col min="4" max="4" width="14" bestFit="1" customWidth="1"/>
    <col min="5" max="5" width="12" bestFit="1" customWidth="1"/>
    <col min="6" max="6" width="14.28515625" bestFit="1" customWidth="1"/>
    <col min="7" max="7" width="20.5703125" bestFit="1" customWidth="1"/>
    <col min="8" max="8" width="14.5703125" bestFit="1" customWidth="1"/>
    <col min="9" max="9" width="13.85546875" bestFit="1" customWidth="1"/>
    <col min="10" max="10" width="13" bestFit="1" customWidth="1"/>
    <col min="11" max="11" width="11.42578125" bestFit="1" customWidth="1"/>
    <col min="13" max="13" width="24.7109375" bestFit="1" customWidth="1"/>
  </cols>
  <sheetData>
    <row r="1" spans="1:15" ht="18.75" x14ac:dyDescent="0.3">
      <c r="A1" s="6" t="s">
        <v>189</v>
      </c>
      <c r="B1" s="6"/>
      <c r="C1" s="6"/>
      <c r="D1" s="6"/>
      <c r="E1" s="6"/>
      <c r="F1" s="6"/>
      <c r="G1" s="6"/>
      <c r="H1" s="6"/>
      <c r="I1" s="6"/>
      <c r="J1" s="6"/>
      <c r="K1" s="6"/>
      <c r="L1" s="6"/>
      <c r="M1" s="6"/>
      <c r="N1" s="6"/>
      <c r="O1" s="6"/>
    </row>
    <row r="2" spans="1:15" x14ac:dyDescent="0.2">
      <c r="A2" s="5" t="s">
        <v>190</v>
      </c>
      <c r="B2" s="5"/>
      <c r="C2" s="5"/>
      <c r="D2" s="5"/>
      <c r="E2" s="5"/>
      <c r="F2" s="5"/>
      <c r="G2" s="5"/>
      <c r="H2" s="5"/>
      <c r="I2" s="5"/>
      <c r="J2" s="5"/>
      <c r="K2" s="5"/>
      <c r="L2" s="5"/>
      <c r="M2" s="5"/>
      <c r="N2" s="5"/>
      <c r="O2" s="5"/>
    </row>
    <row r="4" spans="1:15" ht="15" x14ac:dyDescent="0.25">
      <c r="A4" s="8" t="s">
        <v>191</v>
      </c>
      <c r="B4" s="7">
        <v>8</v>
      </c>
      <c r="C4" s="7"/>
      <c r="D4" s="7" t="s">
        <v>134</v>
      </c>
      <c r="E4" s="16">
        <v>19783000</v>
      </c>
      <c r="F4" s="7"/>
      <c r="G4" s="7" t="s">
        <v>141</v>
      </c>
      <c r="H4" s="7" t="s">
        <v>142</v>
      </c>
      <c r="I4" s="7"/>
      <c r="J4" s="7" t="s">
        <v>192</v>
      </c>
      <c r="K4" s="9" t="s">
        <v>5</v>
      </c>
    </row>
    <row r="7" spans="1:15" ht="15" x14ac:dyDescent="0.25">
      <c r="A7" s="10" t="s">
        <v>170</v>
      </c>
      <c r="B7" s="10" t="s">
        <v>193</v>
      </c>
      <c r="C7" s="10" t="s">
        <v>162</v>
      </c>
      <c r="D7" s="10" t="s">
        <v>194</v>
      </c>
      <c r="E7" s="10" t="s">
        <v>137</v>
      </c>
      <c r="F7" s="10" t="s">
        <v>195</v>
      </c>
      <c r="G7" s="10" t="s">
        <v>161</v>
      </c>
      <c r="I7" s="10" t="s">
        <v>162</v>
      </c>
      <c r="J7" s="10" t="s">
        <v>196</v>
      </c>
      <c r="K7" s="10" t="s">
        <v>161</v>
      </c>
      <c r="M7" t="s">
        <v>193</v>
      </c>
      <c r="N7" t="s">
        <v>161</v>
      </c>
    </row>
    <row r="8" spans="1:15" x14ac:dyDescent="0.2">
      <c r="A8">
        <v>1</v>
      </c>
      <c r="B8" t="s">
        <v>142</v>
      </c>
      <c r="C8" t="s">
        <v>5</v>
      </c>
      <c r="D8" s="14">
        <v>60000</v>
      </c>
      <c r="E8">
        <v>126</v>
      </c>
      <c r="F8">
        <v>55</v>
      </c>
      <c r="G8" s="14">
        <v>7560000</v>
      </c>
      <c r="I8" t="s">
        <v>5</v>
      </c>
      <c r="J8">
        <v>5</v>
      </c>
      <c r="K8" s="14">
        <v>12758000</v>
      </c>
      <c r="M8" t="s">
        <v>142</v>
      </c>
      <c r="N8">
        <v>7560000</v>
      </c>
    </row>
    <row r="9" spans="1:15" x14ac:dyDescent="0.2">
      <c r="A9">
        <v>2</v>
      </c>
      <c r="B9" t="s">
        <v>12</v>
      </c>
      <c r="C9" t="s">
        <v>13</v>
      </c>
      <c r="D9" s="14">
        <v>40000</v>
      </c>
      <c r="E9">
        <v>151</v>
      </c>
      <c r="F9">
        <v>63</v>
      </c>
      <c r="G9" s="14">
        <v>6040000</v>
      </c>
      <c r="I9" t="s">
        <v>13</v>
      </c>
      <c r="J9">
        <v>1</v>
      </c>
      <c r="K9" s="14">
        <v>6040000</v>
      </c>
      <c r="M9" t="s">
        <v>12</v>
      </c>
      <c r="N9">
        <v>6040000</v>
      </c>
    </row>
    <row r="10" spans="1:15" x14ac:dyDescent="0.2">
      <c r="A10">
        <v>3</v>
      </c>
      <c r="B10" t="s">
        <v>4</v>
      </c>
      <c r="C10" t="s">
        <v>5</v>
      </c>
      <c r="D10" s="14">
        <v>15000</v>
      </c>
      <c r="E10">
        <v>108</v>
      </c>
      <c r="F10">
        <v>51</v>
      </c>
      <c r="G10" s="14">
        <v>1620000</v>
      </c>
      <c r="I10" t="s">
        <v>10</v>
      </c>
      <c r="J10">
        <v>2</v>
      </c>
      <c r="K10" s="14">
        <v>985000</v>
      </c>
      <c r="M10" t="s">
        <v>4</v>
      </c>
      <c r="N10">
        <v>1620000</v>
      </c>
    </row>
    <row r="11" spans="1:15" x14ac:dyDescent="0.2">
      <c r="A11">
        <v>4</v>
      </c>
      <c r="B11" t="s">
        <v>8</v>
      </c>
      <c r="C11" t="s">
        <v>5</v>
      </c>
      <c r="D11" s="14">
        <v>12000</v>
      </c>
      <c r="E11">
        <v>130</v>
      </c>
      <c r="F11">
        <v>59</v>
      </c>
      <c r="G11" s="14">
        <v>1560000</v>
      </c>
      <c r="M11" t="s">
        <v>8</v>
      </c>
      <c r="N11">
        <v>1560000</v>
      </c>
    </row>
    <row r="12" spans="1:15" x14ac:dyDescent="0.2">
      <c r="A12">
        <v>5</v>
      </c>
      <c r="B12" t="s">
        <v>7</v>
      </c>
      <c r="C12" t="s">
        <v>5</v>
      </c>
      <c r="D12" s="14">
        <v>8000</v>
      </c>
      <c r="E12">
        <v>135</v>
      </c>
      <c r="F12">
        <v>61</v>
      </c>
      <c r="G12" s="14">
        <v>1080000</v>
      </c>
      <c r="M12" t="s">
        <v>7</v>
      </c>
      <c r="N12">
        <v>1080000</v>
      </c>
    </row>
    <row r="13" spans="1:15" x14ac:dyDescent="0.2">
      <c r="A13">
        <v>6</v>
      </c>
      <c r="B13" t="s">
        <v>11</v>
      </c>
      <c r="C13" t="s">
        <v>5</v>
      </c>
      <c r="D13" s="14">
        <v>7000</v>
      </c>
      <c r="E13">
        <v>134</v>
      </c>
      <c r="F13">
        <v>52</v>
      </c>
      <c r="G13" s="14">
        <v>938000</v>
      </c>
      <c r="M13" t="s">
        <v>11</v>
      </c>
      <c r="N13">
        <v>938000</v>
      </c>
    </row>
    <row r="14" spans="1:15" x14ac:dyDescent="0.2">
      <c r="A14">
        <v>7</v>
      </c>
      <c r="B14" t="s">
        <v>9</v>
      </c>
      <c r="C14" t="s">
        <v>10</v>
      </c>
      <c r="D14" s="14">
        <v>5000</v>
      </c>
      <c r="E14">
        <v>119</v>
      </c>
      <c r="F14">
        <v>53</v>
      </c>
      <c r="G14" s="14">
        <v>595000</v>
      </c>
      <c r="M14" t="s">
        <v>9</v>
      </c>
      <c r="N14">
        <v>595000</v>
      </c>
    </row>
    <row r="15" spans="1:15" x14ac:dyDescent="0.2">
      <c r="A15">
        <v>8</v>
      </c>
      <c r="B15" t="s">
        <v>14</v>
      </c>
      <c r="C15" t="s">
        <v>10</v>
      </c>
      <c r="D15" s="14">
        <v>3000</v>
      </c>
      <c r="E15">
        <v>130</v>
      </c>
      <c r="F15">
        <v>56</v>
      </c>
      <c r="G15" s="14">
        <v>390000</v>
      </c>
      <c r="M15" t="s">
        <v>14</v>
      </c>
      <c r="N15">
        <v>390000</v>
      </c>
    </row>
    <row r="18" spans="1:3" ht="15" x14ac:dyDescent="0.25">
      <c r="A18" s="10" t="s">
        <v>143</v>
      </c>
      <c r="B18" s="10" t="s">
        <v>144</v>
      </c>
      <c r="C18" s="10" t="s">
        <v>173</v>
      </c>
    </row>
    <row r="19" spans="1:3" x14ac:dyDescent="0.2">
      <c r="A19" t="s">
        <v>197</v>
      </c>
      <c r="B19" t="s">
        <v>142</v>
      </c>
      <c r="C19" t="s">
        <v>198</v>
      </c>
    </row>
    <row r="20" spans="1:3" x14ac:dyDescent="0.2">
      <c r="A20" t="s">
        <v>199</v>
      </c>
      <c r="B20" t="s">
        <v>5</v>
      </c>
      <c r="C20" t="s">
        <v>200</v>
      </c>
    </row>
    <row r="21" spans="1:3" x14ac:dyDescent="0.2">
      <c r="A21" t="s">
        <v>201</v>
      </c>
      <c r="B21" t="s">
        <v>12</v>
      </c>
      <c r="C21" t="s">
        <v>202</v>
      </c>
    </row>
    <row r="22" spans="1:3" x14ac:dyDescent="0.2">
      <c r="A22" t="s">
        <v>203</v>
      </c>
      <c r="B22" t="s">
        <v>4</v>
      </c>
      <c r="C22" t="s">
        <v>204</v>
      </c>
    </row>
    <row r="23" spans="1:3" x14ac:dyDescent="0.2">
      <c r="A23" t="s">
        <v>205</v>
      </c>
      <c r="B23" t="s">
        <v>5</v>
      </c>
      <c r="C23" t="s">
        <v>206</v>
      </c>
    </row>
    <row r="24" spans="1:3" x14ac:dyDescent="0.2">
      <c r="A24" t="s">
        <v>207</v>
      </c>
      <c r="B24" t="s">
        <v>208</v>
      </c>
      <c r="C24" t="s">
        <v>209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E6F2-A624-46BE-816C-C0EB8E7B4B53}">
  <sheetPr>
    <tabColor rgb="FFED7D31"/>
  </sheetPr>
  <dimension ref="A1:O27"/>
  <sheetViews>
    <sheetView showGridLines="0" workbookViewId="0">
      <selection activeCell="M34" sqref="M34"/>
    </sheetView>
  </sheetViews>
  <sheetFormatPr defaultRowHeight="12.75" x14ac:dyDescent="0.2"/>
  <cols>
    <col min="1" max="1" width="49.28515625" bestFit="1" customWidth="1"/>
    <col min="2" max="2" width="7.140625" bestFit="1" customWidth="1"/>
    <col min="3" max="3" width="10.42578125" bestFit="1" customWidth="1"/>
    <col min="4" max="4" width="15.85546875" bestFit="1" customWidth="1"/>
    <col min="5" max="5" width="12" bestFit="1" customWidth="1"/>
    <col min="6" max="6" width="39.140625" bestFit="1" customWidth="1"/>
    <col min="7" max="7" width="23.5703125" bestFit="1" customWidth="1"/>
    <col min="8" max="8" width="18" bestFit="1" customWidth="1"/>
    <col min="9" max="9" width="37.85546875" bestFit="1" customWidth="1"/>
    <col min="10" max="10" width="20.140625" bestFit="1" customWidth="1"/>
    <col min="11" max="11" width="6.5703125" bestFit="1" customWidth="1"/>
  </cols>
  <sheetData>
    <row r="1" spans="1:15" ht="18.75" x14ac:dyDescent="0.3">
      <c r="A1" s="6" t="s">
        <v>210</v>
      </c>
      <c r="B1" s="6"/>
      <c r="C1" s="6"/>
      <c r="D1" s="6"/>
      <c r="E1" s="6"/>
      <c r="F1" s="6"/>
      <c r="G1" s="6"/>
      <c r="H1" s="6"/>
      <c r="I1" s="6"/>
      <c r="J1" s="6"/>
      <c r="K1" s="6"/>
      <c r="L1" s="6"/>
      <c r="M1" s="6"/>
      <c r="N1" s="6"/>
      <c r="O1" s="6"/>
    </row>
    <row r="2" spans="1:15" x14ac:dyDescent="0.2">
      <c r="A2" s="5" t="s">
        <v>211</v>
      </c>
      <c r="B2" s="5"/>
      <c r="C2" s="5"/>
      <c r="D2" s="5"/>
      <c r="E2" s="5"/>
      <c r="F2" s="5"/>
      <c r="G2" s="5"/>
      <c r="H2" s="5"/>
      <c r="I2" s="5"/>
      <c r="J2" s="5"/>
      <c r="K2" s="5"/>
      <c r="L2" s="5"/>
      <c r="M2" s="5"/>
      <c r="N2" s="5"/>
      <c r="O2" s="5"/>
    </row>
    <row r="4" spans="1:15" ht="15" x14ac:dyDescent="0.25">
      <c r="A4" s="8" t="s">
        <v>135</v>
      </c>
      <c r="B4" s="7">
        <v>200</v>
      </c>
      <c r="C4" s="7"/>
      <c r="D4" s="7" t="s">
        <v>134</v>
      </c>
      <c r="E4" s="16">
        <v>19783000</v>
      </c>
      <c r="F4" s="7"/>
      <c r="G4" s="7" t="s">
        <v>138</v>
      </c>
      <c r="H4" s="16">
        <v>98915</v>
      </c>
      <c r="I4" s="7"/>
      <c r="J4" s="7" t="s">
        <v>212</v>
      </c>
      <c r="K4" s="9">
        <v>45170</v>
      </c>
    </row>
    <row r="7" spans="1:15" ht="15" x14ac:dyDescent="0.25">
      <c r="A7" s="10" t="s">
        <v>160</v>
      </c>
      <c r="B7" s="10" t="s">
        <v>169</v>
      </c>
      <c r="C7" s="10" t="s">
        <v>161</v>
      </c>
      <c r="D7" s="10" t="s">
        <v>138</v>
      </c>
      <c r="F7" s="10" t="s">
        <v>143</v>
      </c>
      <c r="G7" s="10" t="s">
        <v>144</v>
      </c>
      <c r="H7" s="10" t="s">
        <v>145</v>
      </c>
      <c r="I7" s="10" t="s">
        <v>173</v>
      </c>
    </row>
    <row r="8" spans="1:15" x14ac:dyDescent="0.2">
      <c r="A8" s="4">
        <v>44986</v>
      </c>
      <c r="B8">
        <v>13</v>
      </c>
      <c r="C8" s="14">
        <v>789000</v>
      </c>
      <c r="D8" s="14">
        <v>60692</v>
      </c>
      <c r="F8" t="s">
        <v>213</v>
      </c>
      <c r="G8" s="4">
        <v>45170</v>
      </c>
      <c r="H8" t="s">
        <v>214</v>
      </c>
      <c r="I8" t="s">
        <v>215</v>
      </c>
    </row>
    <row r="9" spans="1:15" x14ac:dyDescent="0.2">
      <c r="A9" s="4">
        <v>45017</v>
      </c>
      <c r="B9">
        <v>21</v>
      </c>
      <c r="C9" s="14">
        <v>1704000</v>
      </c>
      <c r="D9" s="14">
        <v>81143</v>
      </c>
      <c r="F9" t="s">
        <v>216</v>
      </c>
      <c r="G9" s="4">
        <v>45108</v>
      </c>
      <c r="H9" t="s">
        <v>153</v>
      </c>
      <c r="I9" t="s">
        <v>217</v>
      </c>
    </row>
    <row r="10" spans="1:15" x14ac:dyDescent="0.2">
      <c r="A10" s="4">
        <v>45047</v>
      </c>
      <c r="B10">
        <v>18</v>
      </c>
      <c r="C10" s="14">
        <v>1582000</v>
      </c>
      <c r="D10" s="14">
        <v>87889</v>
      </c>
      <c r="F10" t="s">
        <v>218</v>
      </c>
      <c r="G10" t="s">
        <v>219</v>
      </c>
      <c r="H10" t="s">
        <v>220</v>
      </c>
      <c r="I10" t="s">
        <v>221</v>
      </c>
    </row>
    <row r="11" spans="1:15" x14ac:dyDescent="0.2">
      <c r="A11" s="4">
        <v>45078</v>
      </c>
      <c r="B11">
        <v>10</v>
      </c>
      <c r="C11" s="14">
        <v>104000</v>
      </c>
      <c r="D11" s="14">
        <v>104000</v>
      </c>
      <c r="F11" t="s">
        <v>222</v>
      </c>
      <c r="G11" s="4">
        <v>45323</v>
      </c>
      <c r="H11" t="s">
        <v>223</v>
      </c>
      <c r="I11" t="s">
        <v>224</v>
      </c>
    </row>
    <row r="12" spans="1:15" x14ac:dyDescent="0.2">
      <c r="A12" s="4">
        <v>45108</v>
      </c>
      <c r="B12">
        <v>26</v>
      </c>
      <c r="C12" s="14">
        <v>2568000</v>
      </c>
      <c r="D12" s="14">
        <v>98769</v>
      </c>
      <c r="F12" t="s">
        <v>225</v>
      </c>
      <c r="G12" t="s">
        <v>226</v>
      </c>
      <c r="H12" t="s">
        <v>227</v>
      </c>
      <c r="I12" t="s">
        <v>228</v>
      </c>
    </row>
    <row r="13" spans="1:15" x14ac:dyDescent="0.2">
      <c r="A13" s="4">
        <v>45139</v>
      </c>
      <c r="B13">
        <v>16</v>
      </c>
      <c r="C13" s="14">
        <v>1800000</v>
      </c>
      <c r="D13" s="14">
        <v>112500</v>
      </c>
    </row>
    <row r="14" spans="1:15" x14ac:dyDescent="0.2">
      <c r="A14" s="4">
        <v>45170</v>
      </c>
      <c r="B14">
        <v>24</v>
      </c>
      <c r="C14" s="14">
        <v>2927000</v>
      </c>
      <c r="D14" s="14">
        <v>121958</v>
      </c>
    </row>
    <row r="15" spans="1:15" ht="15" x14ac:dyDescent="0.25">
      <c r="A15" s="4">
        <v>45200</v>
      </c>
      <c r="B15">
        <v>18</v>
      </c>
      <c r="C15" s="14">
        <v>1497000</v>
      </c>
      <c r="D15" s="14">
        <v>83167</v>
      </c>
      <c r="F15" s="10" t="s">
        <v>160</v>
      </c>
      <c r="G15" s="10" t="s">
        <v>161</v>
      </c>
    </row>
    <row r="16" spans="1:15" x14ac:dyDescent="0.2">
      <c r="A16" s="4">
        <v>45231</v>
      </c>
      <c r="B16">
        <v>12</v>
      </c>
      <c r="C16" s="14">
        <v>1151000</v>
      </c>
      <c r="D16" s="14">
        <v>95917</v>
      </c>
      <c r="F16" s="4">
        <v>44986</v>
      </c>
      <c r="G16" s="14">
        <v>789000</v>
      </c>
    </row>
    <row r="17" spans="1:7" x14ac:dyDescent="0.2">
      <c r="A17" s="4">
        <v>45261</v>
      </c>
      <c r="B17">
        <v>21</v>
      </c>
      <c r="C17" s="14">
        <v>2774000</v>
      </c>
      <c r="D17" s="14">
        <v>132095</v>
      </c>
      <c r="F17" s="4">
        <v>45017</v>
      </c>
      <c r="G17" s="14">
        <v>1704000</v>
      </c>
    </row>
    <row r="18" spans="1:7" x14ac:dyDescent="0.2">
      <c r="A18" s="4">
        <v>45292</v>
      </c>
      <c r="B18">
        <v>12</v>
      </c>
      <c r="C18" s="14">
        <v>1555000</v>
      </c>
      <c r="D18" s="14">
        <v>129583</v>
      </c>
      <c r="F18" s="4">
        <v>45047</v>
      </c>
      <c r="G18" s="14">
        <v>1582000</v>
      </c>
    </row>
    <row r="19" spans="1:7" x14ac:dyDescent="0.2">
      <c r="A19" s="4">
        <v>45323</v>
      </c>
      <c r="B19">
        <v>9</v>
      </c>
      <c r="C19" s="14">
        <v>396000</v>
      </c>
      <c r="D19" s="14">
        <v>44000</v>
      </c>
      <c r="F19" s="4">
        <v>45078</v>
      </c>
      <c r="G19" s="14">
        <v>1040000</v>
      </c>
    </row>
    <row r="20" spans="1:7" x14ac:dyDescent="0.2">
      <c r="F20" s="4">
        <v>45108</v>
      </c>
      <c r="G20" s="14">
        <v>2568000</v>
      </c>
    </row>
    <row r="21" spans="1:7" x14ac:dyDescent="0.2">
      <c r="F21" s="4">
        <v>45139</v>
      </c>
      <c r="G21" s="14">
        <v>1800000</v>
      </c>
    </row>
    <row r="22" spans="1:7" x14ac:dyDescent="0.2">
      <c r="F22" s="4">
        <v>45170</v>
      </c>
      <c r="G22" s="14">
        <v>2927000</v>
      </c>
    </row>
    <row r="23" spans="1:7" x14ac:dyDescent="0.2">
      <c r="F23" s="4">
        <v>45200</v>
      </c>
      <c r="G23" s="14">
        <v>1497000</v>
      </c>
    </row>
    <row r="24" spans="1:7" x14ac:dyDescent="0.2">
      <c r="F24" s="4">
        <v>45231</v>
      </c>
      <c r="G24" s="14">
        <v>1151000</v>
      </c>
    </row>
    <row r="25" spans="1:7" x14ac:dyDescent="0.2">
      <c r="F25" s="4">
        <v>45261</v>
      </c>
      <c r="G25" s="14">
        <v>2774000</v>
      </c>
    </row>
    <row r="26" spans="1:7" x14ac:dyDescent="0.2">
      <c r="F26" s="4">
        <v>45292</v>
      </c>
      <c r="G26" s="14">
        <v>1555000</v>
      </c>
    </row>
    <row r="27" spans="1:7" x14ac:dyDescent="0.2">
      <c r="F27" s="4">
        <v>45323</v>
      </c>
      <c r="G27" s="14">
        <v>396000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9FFC-6AA0-4D03-A441-8880B47136B6}">
  <sheetPr>
    <tabColor rgb="FFA5A5A5"/>
  </sheetPr>
  <dimension ref="A1:O23"/>
  <sheetViews>
    <sheetView showGridLines="0" tabSelected="1" topLeftCell="B3" workbookViewId="0">
      <selection activeCell="L26" sqref="L26"/>
    </sheetView>
  </sheetViews>
  <sheetFormatPr defaultRowHeight="12.75" x14ac:dyDescent="0.2"/>
  <cols>
    <col min="1" max="1" width="106.42578125" bestFit="1" customWidth="1"/>
    <col min="2" max="2" width="63.140625" bestFit="1" customWidth="1"/>
    <col min="3" max="3" width="47.28515625" bestFit="1" customWidth="1"/>
    <col min="4" max="4" width="14.140625" bestFit="1" customWidth="1"/>
    <col min="5" max="5" width="14.28515625" bestFit="1" customWidth="1"/>
    <col min="6" max="6" width="10.42578125" bestFit="1" customWidth="1"/>
    <col min="7" max="7" width="20.5703125" bestFit="1" customWidth="1"/>
    <col min="8" max="8" width="21.7109375" bestFit="1" customWidth="1"/>
    <col min="10" max="10" width="24.7109375" bestFit="1" customWidth="1"/>
    <col min="11" max="11" width="24.85546875" bestFit="1" customWidth="1"/>
  </cols>
  <sheetData>
    <row r="1" spans="1:15" ht="18.75" x14ac:dyDescent="0.3">
      <c r="A1" s="6" t="s">
        <v>229</v>
      </c>
      <c r="B1" s="6"/>
      <c r="C1" s="6"/>
      <c r="D1" s="6"/>
      <c r="E1" s="6"/>
      <c r="F1" s="6"/>
      <c r="G1" s="6"/>
      <c r="H1" s="6"/>
      <c r="I1" s="6"/>
      <c r="J1" s="6"/>
      <c r="K1" s="6"/>
      <c r="L1" s="6"/>
      <c r="M1" s="6"/>
      <c r="N1" s="6"/>
      <c r="O1" s="6"/>
    </row>
    <row r="2" spans="1:15" x14ac:dyDescent="0.2">
      <c r="A2" s="11" t="s">
        <v>230</v>
      </c>
      <c r="B2" s="11"/>
      <c r="C2" s="11"/>
      <c r="D2" s="11"/>
      <c r="E2" s="11"/>
      <c r="F2" s="11"/>
      <c r="G2" s="11"/>
      <c r="H2" s="11"/>
      <c r="I2" s="11"/>
      <c r="J2" s="11"/>
      <c r="K2" s="11"/>
      <c r="L2" s="11"/>
      <c r="M2" s="11"/>
      <c r="N2" s="11"/>
      <c r="O2" s="11"/>
    </row>
    <row r="4" spans="1:15" ht="15" x14ac:dyDescent="0.25">
      <c r="A4" s="8" t="s">
        <v>231</v>
      </c>
      <c r="B4" s="7" t="s">
        <v>12</v>
      </c>
      <c r="C4" s="7"/>
      <c r="D4" s="7" t="s">
        <v>232</v>
      </c>
      <c r="E4" s="7">
        <v>151</v>
      </c>
      <c r="F4" s="7"/>
      <c r="G4" s="7" t="s">
        <v>233</v>
      </c>
      <c r="H4" s="7" t="s">
        <v>4</v>
      </c>
      <c r="I4" s="7"/>
      <c r="J4" s="7" t="s">
        <v>234</v>
      </c>
      <c r="K4" s="9" t="s">
        <v>235</v>
      </c>
    </row>
    <row r="7" spans="1:15" ht="15" x14ac:dyDescent="0.25">
      <c r="A7" s="10" t="s">
        <v>170</v>
      </c>
      <c r="B7" s="10" t="s">
        <v>193</v>
      </c>
      <c r="C7" s="10" t="s">
        <v>162</v>
      </c>
      <c r="D7" s="10" t="s">
        <v>137</v>
      </c>
      <c r="E7" s="10" t="s">
        <v>195</v>
      </c>
      <c r="F7" s="10" t="s">
        <v>161</v>
      </c>
      <c r="G7" s="10" t="s">
        <v>236</v>
      </c>
      <c r="H7" s="10" t="s">
        <v>237</v>
      </c>
      <c r="J7" t="s">
        <v>193</v>
      </c>
      <c r="K7" t="s">
        <v>137</v>
      </c>
    </row>
    <row r="8" spans="1:15" x14ac:dyDescent="0.2">
      <c r="A8">
        <v>1</v>
      </c>
      <c r="B8" t="s">
        <v>12</v>
      </c>
      <c r="C8" t="s">
        <v>13</v>
      </c>
      <c r="D8">
        <v>151</v>
      </c>
      <c r="E8">
        <v>63</v>
      </c>
      <c r="F8" s="14">
        <v>6040000</v>
      </c>
      <c r="G8" t="s">
        <v>238</v>
      </c>
      <c r="H8" t="s">
        <v>239</v>
      </c>
      <c r="J8" t="s">
        <v>12</v>
      </c>
      <c r="K8">
        <v>151</v>
      </c>
    </row>
    <row r="9" spans="1:15" x14ac:dyDescent="0.2">
      <c r="A9">
        <v>2</v>
      </c>
      <c r="B9" t="s">
        <v>7</v>
      </c>
      <c r="C9" t="s">
        <v>5</v>
      </c>
      <c r="D9">
        <v>135</v>
      </c>
      <c r="E9">
        <v>61</v>
      </c>
      <c r="F9" s="14">
        <v>1080000</v>
      </c>
      <c r="G9" t="s">
        <v>238</v>
      </c>
      <c r="H9" t="s">
        <v>239</v>
      </c>
      <c r="J9" t="s">
        <v>7</v>
      </c>
      <c r="K9">
        <v>135</v>
      </c>
    </row>
    <row r="10" spans="1:15" x14ac:dyDescent="0.2">
      <c r="A10">
        <v>3</v>
      </c>
      <c r="B10" t="s">
        <v>11</v>
      </c>
      <c r="C10" t="s">
        <v>5</v>
      </c>
      <c r="D10">
        <v>134</v>
      </c>
      <c r="E10">
        <v>52</v>
      </c>
      <c r="F10" s="14">
        <v>938000</v>
      </c>
      <c r="G10" t="s">
        <v>238</v>
      </c>
      <c r="H10" t="s">
        <v>239</v>
      </c>
      <c r="J10" t="s">
        <v>11</v>
      </c>
      <c r="K10">
        <v>134</v>
      </c>
    </row>
    <row r="11" spans="1:15" x14ac:dyDescent="0.2">
      <c r="A11">
        <v>4</v>
      </c>
      <c r="B11" t="s">
        <v>8</v>
      </c>
      <c r="C11" t="s">
        <v>5</v>
      </c>
      <c r="D11">
        <v>130</v>
      </c>
      <c r="E11">
        <v>59</v>
      </c>
      <c r="F11" s="14">
        <v>1560000</v>
      </c>
      <c r="G11" t="s">
        <v>240</v>
      </c>
      <c r="H11" t="s">
        <v>241</v>
      </c>
      <c r="J11" t="s">
        <v>8</v>
      </c>
      <c r="K11">
        <v>130</v>
      </c>
    </row>
    <row r="12" spans="1:15" x14ac:dyDescent="0.2">
      <c r="A12">
        <v>5</v>
      </c>
      <c r="B12" t="s">
        <v>14</v>
      </c>
      <c r="C12" t="s">
        <v>10</v>
      </c>
      <c r="D12">
        <v>130</v>
      </c>
      <c r="E12">
        <v>56</v>
      </c>
      <c r="F12" s="14">
        <v>390000</v>
      </c>
      <c r="G12" t="s">
        <v>240</v>
      </c>
      <c r="H12" t="s">
        <v>241</v>
      </c>
      <c r="J12" t="s">
        <v>14</v>
      </c>
      <c r="K12">
        <v>130</v>
      </c>
    </row>
    <row r="13" spans="1:15" x14ac:dyDescent="0.2">
      <c r="A13">
        <v>6</v>
      </c>
      <c r="B13" t="s">
        <v>142</v>
      </c>
      <c r="C13" t="s">
        <v>5</v>
      </c>
      <c r="D13">
        <v>126</v>
      </c>
      <c r="E13">
        <v>55</v>
      </c>
      <c r="F13" s="14">
        <v>7560000</v>
      </c>
      <c r="G13" t="s">
        <v>240</v>
      </c>
      <c r="H13" t="s">
        <v>241</v>
      </c>
      <c r="J13" t="s">
        <v>142</v>
      </c>
      <c r="K13">
        <v>126</v>
      </c>
    </row>
    <row r="14" spans="1:15" x14ac:dyDescent="0.2">
      <c r="A14">
        <v>7</v>
      </c>
      <c r="B14" t="s">
        <v>9</v>
      </c>
      <c r="C14" t="s">
        <v>10</v>
      </c>
      <c r="D14">
        <v>119</v>
      </c>
      <c r="E14">
        <v>53</v>
      </c>
      <c r="F14" s="14">
        <v>595000</v>
      </c>
      <c r="G14" t="s">
        <v>242</v>
      </c>
      <c r="H14" t="s">
        <v>243</v>
      </c>
      <c r="J14" t="s">
        <v>9</v>
      </c>
      <c r="K14">
        <v>119</v>
      </c>
    </row>
    <row r="15" spans="1:15" x14ac:dyDescent="0.2">
      <c r="A15">
        <v>8</v>
      </c>
      <c r="B15" t="s">
        <v>4</v>
      </c>
      <c r="C15" t="s">
        <v>5</v>
      </c>
      <c r="D15">
        <v>108</v>
      </c>
      <c r="E15">
        <v>51</v>
      </c>
      <c r="F15" s="14">
        <v>1620000</v>
      </c>
      <c r="G15" t="s">
        <v>242</v>
      </c>
      <c r="H15" t="s">
        <v>243</v>
      </c>
      <c r="J15" t="s">
        <v>4</v>
      </c>
      <c r="K15">
        <v>108</v>
      </c>
    </row>
    <row r="18" spans="1:3" ht="15" x14ac:dyDescent="0.25">
      <c r="A18" s="10" t="s">
        <v>143</v>
      </c>
      <c r="B18" s="10" t="s">
        <v>144</v>
      </c>
      <c r="C18" s="10" t="s">
        <v>173</v>
      </c>
    </row>
    <row r="19" spans="1:3" x14ac:dyDescent="0.2">
      <c r="A19" t="s">
        <v>244</v>
      </c>
      <c r="B19" t="s">
        <v>245</v>
      </c>
      <c r="C19" t="s">
        <v>246</v>
      </c>
    </row>
    <row r="20" spans="1:3" x14ac:dyDescent="0.2">
      <c r="A20" t="s">
        <v>247</v>
      </c>
      <c r="B20" t="s">
        <v>4</v>
      </c>
      <c r="C20" t="s">
        <v>248</v>
      </c>
    </row>
    <row r="21" spans="1:3" x14ac:dyDescent="0.2">
      <c r="A21" t="s">
        <v>249</v>
      </c>
      <c r="B21" t="s">
        <v>250</v>
      </c>
      <c r="C21" t="s">
        <v>251</v>
      </c>
    </row>
    <row r="22" spans="1:3" x14ac:dyDescent="0.2">
      <c r="A22" t="s">
        <v>252</v>
      </c>
      <c r="B22" t="s">
        <v>253</v>
      </c>
      <c r="C22" t="s">
        <v>254</v>
      </c>
    </row>
    <row r="23" spans="1:3" x14ac:dyDescent="0.2">
      <c r="A23" t="s">
        <v>255</v>
      </c>
      <c r="B23" t="s">
        <v>256</v>
      </c>
      <c r="C23" t="s">
        <v>257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products</vt:lpstr>
      <vt:lpstr>orderdetails</vt:lpstr>
      <vt:lpstr>customers</vt:lpstr>
      <vt:lpstr>orders</vt:lpstr>
      <vt:lpstr>Executive Summary</vt:lpstr>
      <vt:lpstr>Customer Insights</vt:lpstr>
      <vt:lpstr>Product Analysis</vt:lpstr>
      <vt:lpstr>Sales Optimization</vt:lpstr>
      <vt:lpstr>Inventory 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Debargha Chowdhury</cp:lastModifiedBy>
  <cp:revision/>
  <dcterms:created xsi:type="dcterms:W3CDTF">2026-09-23T12:09:30Z</dcterms:created>
  <dcterms:modified xsi:type="dcterms:W3CDTF">2026-09-23T12:24:52Z</dcterms:modified>
  <cp:category/>
  <cp:contentStatus/>
</cp:coreProperties>
</file>